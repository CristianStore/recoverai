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ecoverAI\Sistema_Prestamos\"/>
    </mc:Choice>
  </mc:AlternateContent>
  <xr:revisionPtr revIDLastSave="0" documentId="8_{03A10C66-5756-4818-9021-AD4CB55EF2E0}" xr6:coauthVersionLast="47" xr6:coauthVersionMax="47" xr10:uidLastSave="{00000000-0000-0000-0000-000000000000}"/>
  <bookViews>
    <workbookView xWindow="-120" yWindow="-120" windowWidth="29040" windowHeight="15840" firstSheet="1" activeTab="1" xr2:uid="{6C898690-7D69-4896-AD0A-E25B3887FBD5}"/>
  </bookViews>
  <sheets>
    <sheet name="LISTA_V5" sheetId="2" state="hidden" r:id="rId1"/>
    <sheet name="SISTEMA_V5_PREMIUM" sheetId="1"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06" i="1" l="1"/>
  <c r="M106" i="1"/>
  <c r="K106" i="1"/>
  <c r="J106" i="1"/>
  <c r="I106" i="1"/>
  <c r="H106" i="1"/>
  <c r="F106" i="1"/>
  <c r="E106" i="1"/>
  <c r="L105" i="1"/>
  <c r="M105" i="1"/>
  <c r="K105" i="1"/>
  <c r="J105" i="1"/>
  <c r="I105" i="1"/>
  <c r="H105" i="1"/>
  <c r="F105" i="1"/>
  <c r="E105" i="1"/>
  <c r="L104" i="1"/>
  <c r="M104" i="1"/>
  <c r="K104" i="1"/>
  <c r="J104" i="1"/>
  <c r="I104" i="1"/>
  <c r="H104" i="1"/>
  <c r="F104" i="1"/>
  <c r="E104" i="1"/>
  <c r="L103" i="1"/>
  <c r="M103" i="1"/>
  <c r="K103" i="1"/>
  <c r="J103" i="1"/>
  <c r="I103" i="1"/>
  <c r="H103" i="1"/>
  <c r="F103" i="1"/>
  <c r="E103" i="1"/>
  <c r="L102" i="1"/>
  <c r="M102" i="1"/>
  <c r="K102" i="1"/>
  <c r="J102" i="1"/>
  <c r="I102" i="1"/>
  <c r="H102" i="1"/>
  <c r="F102" i="1"/>
  <c r="E102" i="1"/>
  <c r="L101" i="1"/>
  <c r="M101" i="1"/>
  <c r="K101" i="1"/>
  <c r="J101" i="1"/>
  <c r="I101" i="1"/>
  <c r="H101" i="1"/>
  <c r="F101" i="1"/>
  <c r="E101" i="1"/>
  <c r="L100" i="1"/>
  <c r="M100" i="1"/>
  <c r="K100" i="1"/>
  <c r="J100" i="1"/>
  <c r="I100" i="1"/>
  <c r="H100" i="1"/>
  <c r="F100" i="1"/>
  <c r="E100" i="1"/>
  <c r="L99" i="1"/>
  <c r="M99" i="1"/>
  <c r="K99" i="1"/>
  <c r="J99" i="1"/>
  <c r="I99" i="1"/>
  <c r="H99" i="1"/>
  <c r="F99" i="1"/>
  <c r="E99" i="1"/>
  <c r="L98" i="1"/>
  <c r="M98" i="1"/>
  <c r="K98" i="1"/>
  <c r="J98" i="1"/>
  <c r="I98" i="1"/>
  <c r="H98" i="1"/>
  <c r="F98" i="1"/>
  <c r="E98" i="1"/>
  <c r="L97" i="1"/>
  <c r="M97" i="1"/>
  <c r="K97" i="1"/>
  <c r="J97" i="1"/>
  <c r="I97" i="1"/>
  <c r="H97" i="1"/>
  <c r="F97" i="1"/>
  <c r="E97" i="1"/>
  <c r="L96" i="1"/>
  <c r="M96" i="1"/>
  <c r="K96" i="1"/>
  <c r="J96" i="1"/>
  <c r="I96" i="1"/>
  <c r="H96" i="1"/>
  <c r="F96" i="1"/>
  <c r="E96" i="1"/>
  <c r="L95" i="1"/>
  <c r="M95" i="1"/>
  <c r="K95" i="1"/>
  <c r="J95" i="1"/>
  <c r="I95" i="1"/>
  <c r="H95" i="1"/>
  <c r="F95" i="1"/>
  <c r="E95" i="1"/>
  <c r="L94" i="1"/>
  <c r="M94" i="1"/>
  <c r="K94" i="1"/>
  <c r="J94" i="1"/>
  <c r="I94" i="1"/>
  <c r="H94" i="1"/>
  <c r="F94" i="1"/>
  <c r="E94" i="1"/>
  <c r="L93" i="1"/>
  <c r="M93" i="1"/>
  <c r="K93" i="1"/>
  <c r="J93" i="1"/>
  <c r="I93" i="1"/>
  <c r="H93" i="1"/>
  <c r="F93" i="1"/>
  <c r="E93" i="1"/>
  <c r="L92" i="1"/>
  <c r="M92" i="1"/>
  <c r="K92" i="1"/>
  <c r="J92" i="1"/>
  <c r="I92" i="1"/>
  <c r="H92" i="1"/>
  <c r="F92" i="1"/>
  <c r="E92" i="1"/>
  <c r="L91" i="1"/>
  <c r="M91" i="1"/>
  <c r="K91" i="1"/>
  <c r="J91" i="1"/>
  <c r="I91" i="1"/>
  <c r="H91" i="1"/>
  <c r="F91" i="1"/>
  <c r="E91" i="1"/>
  <c r="L90" i="1"/>
  <c r="M90" i="1"/>
  <c r="K90" i="1"/>
  <c r="J90" i="1"/>
  <c r="I90" i="1"/>
  <c r="H90" i="1"/>
  <c r="F90" i="1"/>
  <c r="E90" i="1"/>
  <c r="L89" i="1"/>
  <c r="M89" i="1"/>
  <c r="K89" i="1"/>
  <c r="J89" i="1"/>
  <c r="I89" i="1"/>
  <c r="H89" i="1"/>
  <c r="F89" i="1"/>
  <c r="E89" i="1"/>
  <c r="L88" i="1"/>
  <c r="M88" i="1"/>
  <c r="K88" i="1"/>
  <c r="J88" i="1"/>
  <c r="I88" i="1"/>
  <c r="H88" i="1"/>
  <c r="F88" i="1"/>
  <c r="E88" i="1"/>
  <c r="L87" i="1"/>
  <c r="M87" i="1"/>
  <c r="K87" i="1"/>
  <c r="J87" i="1"/>
  <c r="I87" i="1"/>
  <c r="H87" i="1"/>
  <c r="F87" i="1"/>
  <c r="E87" i="1"/>
  <c r="L86" i="1"/>
  <c r="M86" i="1"/>
  <c r="K86" i="1"/>
  <c r="J86" i="1"/>
  <c r="I86" i="1"/>
  <c r="H86" i="1"/>
  <c r="F86" i="1"/>
  <c r="E86" i="1"/>
  <c r="L85" i="1"/>
  <c r="M85" i="1"/>
  <c r="K85" i="1"/>
  <c r="J85" i="1"/>
  <c r="I85" i="1"/>
  <c r="H85" i="1"/>
  <c r="F85" i="1"/>
  <c r="E85" i="1"/>
  <c r="L84" i="1"/>
  <c r="M84" i="1"/>
  <c r="K84" i="1"/>
  <c r="J84" i="1"/>
  <c r="I84" i="1"/>
  <c r="H84" i="1"/>
  <c r="F84" i="1"/>
  <c r="E84" i="1"/>
  <c r="L83" i="1"/>
  <c r="M83" i="1"/>
  <c r="K83" i="1"/>
  <c r="J83" i="1"/>
  <c r="I83" i="1"/>
  <c r="H83" i="1"/>
  <c r="F83" i="1"/>
  <c r="E83" i="1"/>
  <c r="L82" i="1"/>
  <c r="M82" i="1"/>
  <c r="K82" i="1"/>
  <c r="J82" i="1"/>
  <c r="I82" i="1"/>
  <c r="H82" i="1"/>
  <c r="F82" i="1"/>
  <c r="E82" i="1"/>
  <c r="L81" i="1"/>
  <c r="M81" i="1"/>
  <c r="K81" i="1"/>
  <c r="J81" i="1"/>
  <c r="I81" i="1"/>
  <c r="H81" i="1"/>
  <c r="F81" i="1"/>
  <c r="E81" i="1"/>
  <c r="L80" i="1"/>
  <c r="M80" i="1"/>
  <c r="K80" i="1"/>
  <c r="J80" i="1"/>
  <c r="I80" i="1"/>
  <c r="H80" i="1"/>
  <c r="F80" i="1"/>
  <c r="E80" i="1"/>
  <c r="L79" i="1"/>
  <c r="M79" i="1"/>
  <c r="K79" i="1"/>
  <c r="J79" i="1"/>
  <c r="I79" i="1"/>
  <c r="H79" i="1"/>
  <c r="F79" i="1"/>
  <c r="E79" i="1"/>
  <c r="L78" i="1"/>
  <c r="M78" i="1"/>
  <c r="K78" i="1"/>
  <c r="J78" i="1"/>
  <c r="I78" i="1"/>
  <c r="H78" i="1"/>
  <c r="F78" i="1"/>
  <c r="E78" i="1"/>
  <c r="L77" i="1"/>
  <c r="M77" i="1"/>
  <c r="K77" i="1"/>
  <c r="J77" i="1"/>
  <c r="I77" i="1"/>
  <c r="H77" i="1"/>
  <c r="F77" i="1"/>
  <c r="E77" i="1"/>
  <c r="L76" i="1"/>
  <c r="M76" i="1"/>
  <c r="K76" i="1"/>
  <c r="J76" i="1"/>
  <c r="I76" i="1"/>
  <c r="H76" i="1"/>
  <c r="F76" i="1"/>
  <c r="E76" i="1"/>
  <c r="L75" i="1"/>
  <c r="M75" i="1"/>
  <c r="K75" i="1"/>
  <c r="J75" i="1"/>
  <c r="I75" i="1"/>
  <c r="H75" i="1"/>
  <c r="F75" i="1"/>
  <c r="E75" i="1"/>
  <c r="L74" i="1"/>
  <c r="M74" i="1"/>
  <c r="K74" i="1"/>
  <c r="J74" i="1"/>
  <c r="I74" i="1"/>
  <c r="H74" i="1"/>
  <c r="F74" i="1"/>
  <c r="E74" i="1"/>
  <c r="L73" i="1"/>
  <c r="M73" i="1"/>
  <c r="K73" i="1"/>
  <c r="J73" i="1"/>
  <c r="I73" i="1"/>
  <c r="H73" i="1"/>
  <c r="F73" i="1"/>
  <c r="E73" i="1"/>
  <c r="L72" i="1"/>
  <c r="M72" i="1"/>
  <c r="K72" i="1"/>
  <c r="J72" i="1"/>
  <c r="I72" i="1"/>
  <c r="H72" i="1"/>
  <c r="F72" i="1"/>
  <c r="E72" i="1"/>
  <c r="L71" i="1"/>
  <c r="M71" i="1"/>
  <c r="K71" i="1"/>
  <c r="J71" i="1"/>
  <c r="I71" i="1"/>
  <c r="H71" i="1"/>
  <c r="F71" i="1"/>
  <c r="E71" i="1"/>
  <c r="L70" i="1"/>
  <c r="M70" i="1"/>
  <c r="K70" i="1"/>
  <c r="J70" i="1"/>
  <c r="I70" i="1"/>
  <c r="H70" i="1"/>
  <c r="F70" i="1"/>
  <c r="E70" i="1"/>
  <c r="L69" i="1"/>
  <c r="M69" i="1"/>
  <c r="K69" i="1"/>
  <c r="J69" i="1"/>
  <c r="I69" i="1"/>
  <c r="H69" i="1"/>
  <c r="F69" i="1"/>
  <c r="E69" i="1"/>
  <c r="L68" i="1"/>
  <c r="M68" i="1"/>
  <c r="K68" i="1"/>
  <c r="J68" i="1"/>
  <c r="I68" i="1"/>
  <c r="H68" i="1"/>
  <c r="F68" i="1"/>
  <c r="E68" i="1"/>
  <c r="L67" i="1"/>
  <c r="M67" i="1"/>
  <c r="K67" i="1"/>
  <c r="J67" i="1"/>
  <c r="I67" i="1"/>
  <c r="H67" i="1"/>
  <c r="F67" i="1"/>
  <c r="E67" i="1"/>
  <c r="L66" i="1"/>
  <c r="M66" i="1"/>
  <c r="K66" i="1"/>
  <c r="J66" i="1"/>
  <c r="I66" i="1"/>
  <c r="H66" i="1"/>
  <c r="F66" i="1"/>
  <c r="E66" i="1"/>
  <c r="L65" i="1"/>
  <c r="M65" i="1"/>
  <c r="K65" i="1"/>
  <c r="J65" i="1"/>
  <c r="I65" i="1"/>
  <c r="H65" i="1"/>
  <c r="F65" i="1"/>
  <c r="E65" i="1"/>
  <c r="L64" i="1"/>
  <c r="M64" i="1"/>
  <c r="K64" i="1"/>
  <c r="J64" i="1"/>
  <c r="I64" i="1"/>
  <c r="H64" i="1"/>
  <c r="F64" i="1"/>
  <c r="E64" i="1"/>
  <c r="L63" i="1"/>
  <c r="M63" i="1"/>
  <c r="K63" i="1"/>
  <c r="J63" i="1"/>
  <c r="I63" i="1"/>
  <c r="H63" i="1"/>
  <c r="F63" i="1"/>
  <c r="E63" i="1"/>
  <c r="L62" i="1"/>
  <c r="M62" i="1"/>
  <c r="K62" i="1"/>
  <c r="J62" i="1"/>
  <c r="I62" i="1"/>
  <c r="H62" i="1"/>
  <c r="F62" i="1"/>
  <c r="E62" i="1"/>
  <c r="L61" i="1"/>
  <c r="M61" i="1"/>
  <c r="K61" i="1"/>
  <c r="J61" i="1"/>
  <c r="I61" i="1"/>
  <c r="H61" i="1"/>
  <c r="F61" i="1"/>
  <c r="E61" i="1"/>
  <c r="L60" i="1"/>
  <c r="M60" i="1"/>
  <c r="K60" i="1"/>
  <c r="J60" i="1"/>
  <c r="I60" i="1"/>
  <c r="H60" i="1"/>
  <c r="F60" i="1"/>
  <c r="E60" i="1"/>
  <c r="L59" i="1"/>
  <c r="M59" i="1"/>
  <c r="K59" i="1"/>
  <c r="J59" i="1"/>
  <c r="I59" i="1"/>
  <c r="H59" i="1"/>
  <c r="F59" i="1"/>
  <c r="E59" i="1"/>
  <c r="L58" i="1"/>
  <c r="M58" i="1"/>
  <c r="K58" i="1"/>
  <c r="J58" i="1"/>
  <c r="I58" i="1"/>
  <c r="H58" i="1"/>
  <c r="F58" i="1"/>
  <c r="E58" i="1"/>
  <c r="L57" i="1"/>
  <c r="M57" i="1"/>
  <c r="K57" i="1"/>
  <c r="J57" i="1"/>
  <c r="I57" i="1"/>
  <c r="H57" i="1"/>
  <c r="F57" i="1"/>
  <c r="E57" i="1"/>
  <c r="L56" i="1"/>
  <c r="M56" i="1"/>
  <c r="K56" i="1"/>
  <c r="J56" i="1"/>
  <c r="I56" i="1"/>
  <c r="H56" i="1"/>
  <c r="F56" i="1"/>
  <c r="E56" i="1"/>
  <c r="L55" i="1"/>
  <c r="M55" i="1"/>
  <c r="K55" i="1"/>
  <c r="J55" i="1"/>
  <c r="I55" i="1"/>
  <c r="H55" i="1"/>
  <c r="F55" i="1"/>
  <c r="E55" i="1"/>
  <c r="L54" i="1"/>
  <c r="M54" i="1"/>
  <c r="K54" i="1"/>
  <c r="J54" i="1"/>
  <c r="I54" i="1"/>
  <c r="H54" i="1"/>
  <c r="F54" i="1"/>
  <c r="E54" i="1"/>
  <c r="L53" i="1"/>
  <c r="M53" i="1"/>
  <c r="K53" i="1"/>
  <c r="J53" i="1"/>
  <c r="I53" i="1"/>
  <c r="H53" i="1"/>
  <c r="F53" i="1"/>
  <c r="E53" i="1"/>
  <c r="L52" i="1"/>
  <c r="M52" i="1"/>
  <c r="K52" i="1"/>
  <c r="J52" i="1"/>
  <c r="I52" i="1"/>
  <c r="H52" i="1"/>
  <c r="F52" i="1"/>
  <c r="E52" i="1"/>
  <c r="L51" i="1"/>
  <c r="M51" i="1"/>
  <c r="K51" i="1"/>
  <c r="J51" i="1"/>
  <c r="I51" i="1"/>
  <c r="H51" i="1"/>
  <c r="F51" i="1"/>
  <c r="E51" i="1"/>
  <c r="L50" i="1"/>
  <c r="M50" i="1"/>
  <c r="K50" i="1"/>
  <c r="J50" i="1"/>
  <c r="I50" i="1"/>
  <c r="H50" i="1"/>
  <c r="F50" i="1"/>
  <c r="E50" i="1"/>
  <c r="L49" i="1"/>
  <c r="M49" i="1"/>
  <c r="K49" i="1"/>
  <c r="J49" i="1"/>
  <c r="I49" i="1"/>
  <c r="H49" i="1"/>
  <c r="F49" i="1"/>
  <c r="E49" i="1"/>
  <c r="L48" i="1"/>
  <c r="M48" i="1"/>
  <c r="K48" i="1"/>
  <c r="J48" i="1"/>
  <c r="I48" i="1"/>
  <c r="H48" i="1"/>
  <c r="F48" i="1"/>
  <c r="E48" i="1"/>
  <c r="L47" i="1"/>
  <c r="M47" i="1"/>
  <c r="K47" i="1"/>
  <c r="J47" i="1"/>
  <c r="I47" i="1"/>
  <c r="H47" i="1"/>
  <c r="F47" i="1"/>
  <c r="E47" i="1"/>
  <c r="L46" i="1"/>
  <c r="M46" i="1"/>
  <c r="K46" i="1"/>
  <c r="J46" i="1"/>
  <c r="I46" i="1"/>
  <c r="H46" i="1"/>
  <c r="F46" i="1"/>
  <c r="E46" i="1"/>
  <c r="L45" i="1"/>
  <c r="M45" i="1"/>
  <c r="K45" i="1"/>
  <c r="J45" i="1"/>
  <c r="I45" i="1"/>
  <c r="H45" i="1"/>
  <c r="F45" i="1"/>
  <c r="E45" i="1"/>
  <c r="L44" i="1"/>
  <c r="M44" i="1"/>
  <c r="K44" i="1"/>
  <c r="J44" i="1"/>
  <c r="I44" i="1"/>
  <c r="H44" i="1"/>
  <c r="F44" i="1"/>
  <c r="E44" i="1"/>
  <c r="L43" i="1"/>
  <c r="M43" i="1"/>
  <c r="K43" i="1"/>
  <c r="J43" i="1"/>
  <c r="I43" i="1"/>
  <c r="H43" i="1"/>
  <c r="F43" i="1"/>
  <c r="E43" i="1"/>
  <c r="L42" i="1"/>
  <c r="M42" i="1"/>
  <c r="K42" i="1"/>
  <c r="J42" i="1"/>
  <c r="I42" i="1"/>
  <c r="H42" i="1"/>
  <c r="F42" i="1"/>
  <c r="E42" i="1"/>
  <c r="L41" i="1"/>
  <c r="M41" i="1"/>
  <c r="K41" i="1"/>
  <c r="J41" i="1"/>
  <c r="I41" i="1"/>
  <c r="H41" i="1"/>
  <c r="F41" i="1"/>
  <c r="E41" i="1"/>
  <c r="L40" i="1"/>
  <c r="M40" i="1"/>
  <c r="K40" i="1"/>
  <c r="J40" i="1"/>
  <c r="I40" i="1"/>
  <c r="H40" i="1"/>
  <c r="F40" i="1"/>
  <c r="E40" i="1"/>
  <c r="L39" i="1"/>
  <c r="M39" i="1"/>
  <c r="K39" i="1"/>
  <c r="J39" i="1"/>
  <c r="I39" i="1"/>
  <c r="H39" i="1"/>
  <c r="F39" i="1"/>
  <c r="E39" i="1"/>
  <c r="L38" i="1"/>
  <c r="M38" i="1"/>
  <c r="K38" i="1"/>
  <c r="J38" i="1"/>
  <c r="I38" i="1"/>
  <c r="H38" i="1"/>
  <c r="F38" i="1"/>
  <c r="E38" i="1"/>
  <c r="L37" i="1"/>
  <c r="M37" i="1"/>
  <c r="K37" i="1"/>
  <c r="J37" i="1"/>
  <c r="I37" i="1"/>
  <c r="H37" i="1"/>
  <c r="F37" i="1"/>
  <c r="E37" i="1"/>
  <c r="L36" i="1"/>
  <c r="M36" i="1"/>
  <c r="K36" i="1"/>
  <c r="J36" i="1"/>
  <c r="I36" i="1"/>
  <c r="H36" i="1"/>
  <c r="F36" i="1"/>
  <c r="E36" i="1"/>
  <c r="L35" i="1"/>
  <c r="M35" i="1"/>
  <c r="K35" i="1"/>
  <c r="J35" i="1"/>
  <c r="I35" i="1"/>
  <c r="H35" i="1"/>
  <c r="F35" i="1"/>
  <c r="E35" i="1"/>
  <c r="L34" i="1"/>
  <c r="M34" i="1"/>
  <c r="K34" i="1"/>
  <c r="J34" i="1"/>
  <c r="I34" i="1"/>
  <c r="H34" i="1"/>
  <c r="F34" i="1"/>
  <c r="E34" i="1"/>
  <c r="L33" i="1"/>
  <c r="M33" i="1"/>
  <c r="K33" i="1"/>
  <c r="J33" i="1"/>
  <c r="I33" i="1"/>
  <c r="H33" i="1"/>
  <c r="F33" i="1"/>
  <c r="E33" i="1"/>
  <c r="L32" i="1"/>
  <c r="M32" i="1"/>
  <c r="K32" i="1"/>
  <c r="J32" i="1"/>
  <c r="I32" i="1"/>
  <c r="H32" i="1"/>
  <c r="F32" i="1"/>
  <c r="E32" i="1"/>
  <c r="L31" i="1"/>
  <c r="M31" i="1"/>
  <c r="K31" i="1"/>
  <c r="J31" i="1"/>
  <c r="I31" i="1"/>
  <c r="H31" i="1"/>
  <c r="F31" i="1"/>
  <c r="E31" i="1"/>
  <c r="L30" i="1"/>
  <c r="M30" i="1"/>
  <c r="K30" i="1"/>
  <c r="J30" i="1"/>
  <c r="I30" i="1"/>
  <c r="H30" i="1"/>
  <c r="F30" i="1"/>
  <c r="E30" i="1"/>
  <c r="L29" i="1"/>
  <c r="M29" i="1"/>
  <c r="K29" i="1"/>
  <c r="J29" i="1"/>
  <c r="I29" i="1"/>
  <c r="H29" i="1"/>
  <c r="F29" i="1"/>
  <c r="E29" i="1"/>
  <c r="L28" i="1"/>
  <c r="M28" i="1"/>
  <c r="K28" i="1"/>
  <c r="J28" i="1"/>
  <c r="I28" i="1"/>
  <c r="H28" i="1"/>
  <c r="F28" i="1"/>
  <c r="E28" i="1"/>
  <c r="L27" i="1"/>
  <c r="M27" i="1"/>
  <c r="K27" i="1"/>
  <c r="J27" i="1"/>
  <c r="I27" i="1"/>
  <c r="H27" i="1"/>
  <c r="F27" i="1"/>
  <c r="E27" i="1"/>
  <c r="L26" i="1"/>
  <c r="M26" i="1"/>
  <c r="K26" i="1"/>
  <c r="J26" i="1"/>
  <c r="I26" i="1"/>
  <c r="H26" i="1"/>
  <c r="F26" i="1"/>
  <c r="E26" i="1"/>
  <c r="L25" i="1"/>
  <c r="M25" i="1"/>
  <c r="K25" i="1"/>
  <c r="J25" i="1"/>
  <c r="I25" i="1"/>
  <c r="H25" i="1"/>
  <c r="F25" i="1"/>
  <c r="E25" i="1"/>
  <c r="L24" i="1"/>
  <c r="M24" i="1"/>
  <c r="K24" i="1"/>
  <c r="J24" i="1"/>
  <c r="I24" i="1"/>
  <c r="H24" i="1"/>
  <c r="F24" i="1"/>
  <c r="E24" i="1"/>
  <c r="L23" i="1"/>
  <c r="M23" i="1"/>
  <c r="K23" i="1"/>
  <c r="J23" i="1"/>
  <c r="I23" i="1"/>
  <c r="H23" i="1"/>
  <c r="F23" i="1"/>
  <c r="E23" i="1"/>
  <c r="L22" i="1"/>
  <c r="M22" i="1"/>
  <c r="K22" i="1"/>
  <c r="J22" i="1"/>
  <c r="I22" i="1"/>
  <c r="H22" i="1"/>
  <c r="F22" i="1"/>
  <c r="E22" i="1"/>
  <c r="L21" i="1"/>
  <c r="M21" i="1"/>
  <c r="K21" i="1"/>
  <c r="J21" i="1"/>
  <c r="I21" i="1"/>
  <c r="H21" i="1"/>
  <c r="F21" i="1"/>
  <c r="E21" i="1"/>
  <c r="L20" i="1"/>
  <c r="M20" i="1"/>
  <c r="K20" i="1"/>
  <c r="J20" i="1"/>
  <c r="I20" i="1"/>
  <c r="H20" i="1"/>
  <c r="F20" i="1"/>
  <c r="E20" i="1"/>
  <c r="L19" i="1"/>
  <c r="M19" i="1"/>
  <c r="K19" i="1"/>
  <c r="J19" i="1"/>
  <c r="I19" i="1"/>
  <c r="H19" i="1"/>
  <c r="F19" i="1"/>
  <c r="E19" i="1"/>
  <c r="L18" i="1"/>
  <c r="M18" i="1"/>
  <c r="K18" i="1"/>
  <c r="J18" i="1"/>
  <c r="I18" i="1"/>
  <c r="H18" i="1"/>
  <c r="F18" i="1"/>
  <c r="E18" i="1"/>
  <c r="L17" i="1"/>
  <c r="M17" i="1"/>
  <c r="K17" i="1"/>
  <c r="J17" i="1"/>
  <c r="I17" i="1"/>
  <c r="H17" i="1"/>
  <c r="F17" i="1"/>
  <c r="E17" i="1"/>
  <c r="L16" i="1"/>
  <c r="M16" i="1"/>
  <c r="K16" i="1"/>
  <c r="J16" i="1"/>
  <c r="I16" i="1"/>
  <c r="H16" i="1"/>
  <c r="F16" i="1"/>
  <c r="E16" i="1"/>
  <c r="L15" i="1"/>
  <c r="M15" i="1"/>
  <c r="K15" i="1"/>
  <c r="J15" i="1"/>
  <c r="I15" i="1"/>
  <c r="H15" i="1"/>
  <c r="F15" i="1"/>
  <c r="E15" i="1"/>
  <c r="L14" i="1"/>
  <c r="M14" i="1"/>
  <c r="K14" i="1"/>
  <c r="J14" i="1"/>
  <c r="I14" i="1"/>
  <c r="H14" i="1"/>
  <c r="F14" i="1"/>
  <c r="E14" i="1"/>
  <c r="L13" i="1"/>
  <c r="M13" i="1"/>
  <c r="K13" i="1"/>
  <c r="J13" i="1"/>
  <c r="I13" i="1"/>
  <c r="H13" i="1"/>
  <c r="F13" i="1"/>
  <c r="E13" i="1"/>
  <c r="L12" i="1"/>
  <c r="M12" i="1"/>
  <c r="K12" i="1"/>
  <c r="J12" i="1"/>
  <c r="I12" i="1"/>
  <c r="H12" i="1"/>
  <c r="F12" i="1"/>
  <c r="E12" i="1"/>
  <c r="L11" i="1"/>
  <c r="M11" i="1"/>
  <c r="K11" i="1"/>
  <c r="J11" i="1"/>
  <c r="I11" i="1"/>
  <c r="H11" i="1"/>
  <c r="F11" i="1"/>
  <c r="E11" i="1"/>
  <c r="L10" i="1"/>
  <c r="M10" i="1"/>
  <c r="K10" i="1"/>
  <c r="J10" i="1"/>
  <c r="I10" i="1"/>
  <c r="H10" i="1"/>
  <c r="F10" i="1"/>
  <c r="E10" i="1"/>
  <c r="L9" i="1"/>
  <c r="M9" i="1"/>
  <c r="K9" i="1"/>
  <c r="J9" i="1"/>
  <c r="I9" i="1"/>
  <c r="H9" i="1"/>
  <c r="F9" i="1"/>
  <c r="E9" i="1"/>
  <c r="L8" i="1"/>
  <c r="M8" i="1"/>
  <c r="K8" i="1"/>
  <c r="J8" i="1"/>
  <c r="I8" i="1"/>
  <c r="H8" i="1"/>
  <c r="F8" i="1"/>
  <c r="E8" i="1"/>
  <c r="L7" i="1"/>
  <c r="M7" i="1"/>
  <c r="K7" i="1"/>
  <c r="J7" i="1"/>
  <c r="I7" i="1"/>
  <c r="H7" i="1"/>
  <c r="F7" i="1"/>
  <c r="E7" i="1"/>
  <c r="L6" i="1"/>
  <c r="M6" i="1"/>
  <c r="K6" i="1"/>
  <c r="J6" i="1"/>
  <c r="I6" i="1"/>
  <c r="H6" i="1"/>
  <c r="F6" i="1"/>
  <c r="E6" i="1"/>
  <c r="G2" i="1"/>
  <c r="I2" i="1" l="1"/>
</calcChain>
</file>

<file path=xl/sharedStrings.xml><?xml version="1.0" encoding="utf-8"?>
<sst xmlns="http://schemas.openxmlformats.org/spreadsheetml/2006/main" count="1539" uniqueCount="1539">
  <si>
    <t xml:space="preserve">      CONTABILIDAD </t>
  </si>
  <si>
    <t>FECHA DE HOY (SISTEMA):</t>
  </si>
  <si>
    <t>CAPITAL TOTAL</t>
  </si>
  <si>
    <t>GANANCIA ESPERADA</t>
  </si>
  <si>
    <t>ID</t>
  </si>
  <si>
    <t>FECHA INICIO</t>
  </si>
  <si>
    <t>CLIENTE</t>
  </si>
  <si>
    <t>CAPITAL</t>
  </si>
  <si>
    <t>INTERES</t>
  </si>
  <si>
    <t>TOTAL</t>
  </si>
  <si>
    <t>CUOTAS</t>
  </si>
  <si>
    <t>VALOR DIA</t>
  </si>
  <si>
    <t>FECHA FIN</t>
  </si>
  <si>
    <t>TOTAL ABONADO</t>
  </si>
  <si>
    <t>SALDO</t>
  </si>
  <si>
    <t>ESTADO</t>
  </si>
  <si>
    <t>DIAS MORA</t>
  </si>
  <si>
    <t>01-feb. D</t>
  </si>
  <si>
    <t>02-feb. L</t>
  </si>
  <si>
    <t>03-feb. M</t>
  </si>
  <si>
    <t>04-feb. Mi</t>
  </si>
  <si>
    <t>05-feb. J</t>
  </si>
  <si>
    <t>06-feb. V</t>
  </si>
  <si>
    <t>07-feb. S</t>
  </si>
  <si>
    <t>08-feb. D</t>
  </si>
  <si>
    <t>09-feb. L</t>
  </si>
  <si>
    <t>10-feb. M</t>
  </si>
  <si>
    <t>11-feb. Mi</t>
  </si>
  <si>
    <t>12-feb. J</t>
  </si>
  <si>
    <t>13-feb. V</t>
  </si>
  <si>
    <t>14-feb. S</t>
  </si>
  <si>
    <t>15-feb. D</t>
  </si>
  <si>
    <t>16-feb. L</t>
  </si>
  <si>
    <t>17-feb. M</t>
  </si>
  <si>
    <t>18-feb. Mi</t>
  </si>
  <si>
    <t>19-feb. J</t>
  </si>
  <si>
    <t>20-feb. V</t>
  </si>
  <si>
    <t>21-feb. S</t>
  </si>
  <si>
    <t>22-feb. D</t>
  </si>
  <si>
    <t>23-feb. L</t>
  </si>
  <si>
    <t>24-feb. M</t>
  </si>
  <si>
    <t>25-feb. Mi</t>
  </si>
  <si>
    <t>26-feb. J</t>
  </si>
  <si>
    <t>27-feb. V</t>
  </si>
  <si>
    <t>28-feb. S</t>
  </si>
  <si>
    <t>01-mar. D</t>
  </si>
  <si>
    <t>02-mar. L</t>
  </si>
  <si>
    <t>03-mar. M</t>
  </si>
  <si>
    <t>04-mar. Mi</t>
  </si>
  <si>
    <t>05-mar. J</t>
  </si>
  <si>
    <t>06-mar. V</t>
  </si>
  <si>
    <t>07-mar. S</t>
  </si>
  <si>
    <t>08-mar. D</t>
  </si>
  <si>
    <t>09-mar. L</t>
  </si>
  <si>
    <t>10-mar. M</t>
  </si>
  <si>
    <t>11-mar. Mi</t>
  </si>
  <si>
    <t>12-mar. J</t>
  </si>
  <si>
    <t>13-mar. V</t>
  </si>
  <si>
    <t>14-mar. S</t>
  </si>
  <si>
    <t>15-mar. D</t>
  </si>
  <si>
    <t>16-mar. L</t>
  </si>
  <si>
    <t>17-mar. M</t>
  </si>
  <si>
    <t>18-mar. Mi</t>
  </si>
  <si>
    <t>19-mar. J</t>
  </si>
  <si>
    <t>20-mar. V</t>
  </si>
  <si>
    <t>21-mar. S</t>
  </si>
  <si>
    <t>22-mar. D</t>
  </si>
  <si>
    <t>23-mar. L</t>
  </si>
  <si>
    <t>24-mar. M</t>
  </si>
  <si>
    <t>25-mar. Mi</t>
  </si>
  <si>
    <t>26-mar. J</t>
  </si>
  <si>
    <t>27-mar. V</t>
  </si>
  <si>
    <t>28-mar. S</t>
  </si>
  <si>
    <t>29-mar. D</t>
  </si>
  <si>
    <t>30-mar. L</t>
  </si>
  <si>
    <t>31-mar. M</t>
  </si>
  <si>
    <t>01-abr. Mi</t>
  </si>
  <si>
    <t>02-abr. J</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</si>
  <si>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</si>
  <si>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</si>
  <si>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</si>
  <si>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</si>
  <si>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</si>
  <si>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</si>
  <si>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</si>
  <si>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</si>
  <si>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</si>
  <si>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</si>
  <si>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</si>
  <si>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</si>
  <si>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</si>
  <si>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</si>
  <si>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</si>
  <si>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</si>
  <si>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</si>
  <si>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</si>
  <si>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</si>
  <si>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</si>
  <si>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</si>
  <si>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</si>
  <si>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</si>
  <si>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</si>
  <si>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</si>
  <si>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</si>
  <si>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</si>
  <si>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</si>
  <si>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</si>
  <si>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</si>
  <si>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</si>
  <si>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</si>
  <si>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</si>
  <si>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</si>
  <si>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</si>
  <si>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</si>
  <si>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</si>
  <si>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</si>
  <si>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</si>
  <si>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</si>
  <si>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</si>
  <si>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</si>
  <si>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</si>
  <si>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</si>
  <si>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</si>
  <si>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</si>
  <si>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</si>
  <si>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</si>
  <si>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</si>
  <si>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</si>
  <si>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</si>
  <si>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</si>
  <si>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</si>
  <si>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</si>
  <si>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</si>
  <si>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</si>
  <si>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</si>
  <si>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</si>
  <si>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</si>
  <si>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</si>
  <si>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</si>
  <si>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</si>
  <si>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</si>
  <si>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</si>
  <si>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</si>
  <si>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</si>
  <si>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</si>
  <si>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</si>
  <si>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</si>
  <si>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</si>
  <si>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</si>
  <si>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</si>
  <si>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</si>
  <si>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</si>
  <si>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</si>
  <si>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</si>
  <si>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</si>
  <si>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</si>
  <si>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</si>
  <si>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</si>
  <si>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</si>
  <si>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</si>
  <si>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</si>
  <si>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</si>
  <si>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</si>
  <si>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</si>
  <si>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</si>
  <si>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</si>
  <si>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</si>
  <si>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</si>
  <si>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</si>
  <si>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</si>
  <si>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</si>
  <si>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</si>
  <si>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</si>
  <si>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</si>
  <si>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</si>
  <si>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</si>
  <si>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</si>
  <si>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</si>
  <si>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</si>
  <si>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</si>
  <si>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</si>
  <si>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</si>
  <si>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</si>
  <si>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</si>
  <si>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</si>
  <si>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</si>
  <si>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</si>
  <si>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</si>
  <si>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</si>
  <si>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</si>
  <si>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</si>
  <si>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</si>
  <si>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</si>
  <si>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</si>
  <si>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</si>
  <si>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</si>
  <si>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</si>
  <si>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</si>
  <si>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</si>
  <si>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</si>
  <si>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</si>
  <si>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</si>
  <si>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</si>
  <si>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</si>
  <si>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</si>
  <si>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</si>
  <si>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</si>
  <si>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</si>
  <si>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</si>
  <si>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</si>
  <si>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</si>
  <si>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</si>
  <si>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</si>
  <si>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</si>
  <si>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</si>
  <si>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</si>
  <si>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</si>
  <si>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</si>
  <si>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</si>
  <si>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</si>
  <si>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</si>
  <si>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</si>
  <si>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</si>
  <si>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</si>
  <si>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</si>
  <si>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</si>
  <si>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</si>
  <si>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</si>
  <si>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</si>
  <si>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</si>
  <si>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</si>
  <si>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</si>
  <si>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</si>
  <si>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</si>
  <si>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</si>
  <si>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</si>
  <si>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</si>
  <si>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</si>
  <si>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</si>
  <si>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</si>
  <si>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</si>
  <si>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</si>
  <si>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</si>
  <si>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</si>
  <si>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</si>
  <si>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</si>
  <si>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</si>
  <si>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</si>
  <si>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</si>
  <si>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</si>
  <si>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</si>
  <si>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</si>
  <si>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</si>
  <si>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</si>
  <si>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</si>
  <si>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</si>
  <si>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</si>
  <si>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</si>
  <si>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</si>
  <si>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</si>
  <si>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</si>
  <si>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</si>
  <si>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</si>
  <si>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</si>
  <si>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</si>
  <si>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</si>
  <si>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</si>
  <si>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</si>
  <si>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</si>
  <si>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</si>
  <si>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</si>
  <si>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</si>
  <si>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</si>
  <si>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</si>
  <si>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</si>
  <si>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</si>
  <si>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</si>
  <si>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</si>
  <si>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</si>
  <si>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</si>
  <si>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</si>
  <si>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</si>
  <si>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</si>
  <si>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</si>
  <si>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</si>
  <si>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</si>
  <si>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</si>
  <si>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</si>
  <si>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</si>
  <si>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</si>
  <si>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</si>
  <si>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</si>
  <si>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</si>
  <si>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</si>
  <si>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</si>
  <si>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</si>
  <si>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</si>
  <si>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</si>
  <si>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</si>
  <si>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</si>
  <si>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</si>
  <si>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</si>
  <si>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</si>
  <si>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</si>
  <si>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</si>
  <si>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</si>
  <si>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</si>
  <si>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</si>
  <si>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</si>
  <si>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</si>
  <si>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</si>
  <si>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</si>
  <si>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</si>
  <si>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</si>
  <si>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</si>
  <si>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</si>
  <si>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</si>
  <si>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</si>
  <si>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</si>
  <si>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</si>
  <si>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</si>
  <si>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</si>
  <si>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</si>
  <si>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</si>
  <si>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</si>
  <si>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</si>
  <si>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</si>
  <si>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</si>
  <si>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</si>
  <si>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</si>
  <si>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</si>
  <si>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</si>
  <si>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</si>
  <si>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</si>
  <si>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</si>
  <si>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</si>
  <si>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</si>
  <si>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</si>
  <si>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</si>
  <si>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</si>
  <si>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</si>
  <si>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</si>
  <si>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</si>
  <si>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</si>
  <si>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</si>
  <si>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</si>
  <si>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</si>
  <si>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</si>
  <si>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</si>
  <si>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</si>
  <si>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</si>
  <si>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</si>
  <si>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</si>
  <si>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</si>
  <si>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</si>
  <si>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</si>
  <si>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</si>
  <si>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</si>
  <si>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</si>
  <si>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</si>
  <si>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</si>
  <si>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</si>
  <si>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</si>
  <si>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</si>
  <si>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</si>
  <si>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</si>
  <si>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</si>
  <si>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</si>
  <si>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</si>
  <si>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</si>
  <si>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</si>
  <si>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</si>
  <si>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</si>
  <si>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</si>
  <si>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</si>
  <si>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</si>
  <si>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</si>
  <si>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</si>
  <si>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</si>
  <si>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</si>
  <si>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</si>
  <si>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</si>
  <si>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</si>
  <si>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</si>
  <si>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</si>
  <si>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</si>
  <si>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</si>
  <si>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</si>
  <si>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</si>
  <si>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</si>
  <si>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</si>
  <si>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</si>
  <si>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</si>
  <si>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</si>
  <si>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</si>
  <si>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</si>
  <si>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</si>
  <si>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</si>
  <si>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</si>
  <si>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</si>
  <si>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</si>
  <si>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</si>
  <si>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</si>
  <si>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</si>
  <si>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</si>
  <si>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</si>
  <si>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</si>
  <si>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</si>
  <si>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</si>
  <si>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</si>
  <si>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</si>
  <si>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</si>
  <si>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</si>
  <si>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</si>
  <si>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</si>
  <si>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</si>
  <si>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</si>
  <si>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</si>
  <si>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</si>
  <si>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</si>
  <si>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</si>
  <si>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</si>
  <si>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</si>
  <si>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</si>
  <si>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</si>
  <si>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</si>
  <si>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</si>
  <si>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</si>
  <si>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</si>
  <si>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</si>
  <si>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</si>
  <si>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</si>
  <si>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</si>
  <si>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</si>
  <si>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</si>
  <si>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</si>
  <si>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</si>
  <si>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</si>
  <si>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</si>
  <si>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</si>
  <si>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</si>
  <si>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</si>
  <si>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</si>
  <si>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</si>
  <si>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</si>
  <si>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</si>
  <si>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</si>
  <si>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</si>
  <si>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</si>
  <si>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</si>
  <si>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</si>
  <si>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</si>
  <si>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</si>
  <si>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</si>
  <si>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</si>
  <si>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</si>
  <si>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</si>
  <si>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</si>
  <si>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</si>
  <si>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</si>
  <si>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</si>
  <si>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</si>
  <si>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</si>
  <si>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</si>
  <si>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</si>
  <si>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</si>
  <si>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</si>
  <si>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</si>
  <si>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</si>
  <si>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</si>
  <si>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</si>
  <si>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</si>
  <si>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</si>
  <si>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</si>
  <si>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</si>
  <si>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</si>
  <si>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</si>
  <si>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</si>
  <si>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</si>
  <si>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</si>
  <si>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</si>
  <si>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</si>
  <si>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</si>
  <si>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</si>
  <si>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</si>
  <si>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</si>
  <si>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</si>
  <si>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</si>
  <si>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</si>
  <si>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</si>
  <si>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</si>
  <si>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</si>
  <si>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</si>
  <si>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</si>
  <si>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</si>
  <si>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</si>
  <si>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</si>
  <si>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</si>
  <si>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</si>
  <si>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</si>
  <si>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</si>
  <si>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</si>
  <si>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</si>
  <si>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</si>
  <si>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</si>
  <si>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</si>
  <si>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</si>
  <si>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</si>
  <si>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</si>
  <si>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</si>
  <si>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</si>
  <si>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</si>
  <si>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</si>
  <si>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</si>
  <si>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</si>
  <si>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</si>
  <si>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</si>
  <si>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</si>
  <si>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</si>
  <si>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</si>
  <si>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</si>
  <si>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</si>
  <si>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</si>
  <si>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</si>
  <si>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</si>
  <si>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</si>
  <si>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</si>
  <si>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</si>
  <si>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</si>
  <si>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</si>
  <si>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</si>
  <si>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</si>
  <si>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</si>
  <si>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</si>
  <si>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</si>
  <si>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</si>
  <si>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</si>
  <si>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</si>
  <si>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</si>
  <si>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</si>
  <si>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</si>
  <si>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</si>
  <si>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</si>
  <si>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</si>
  <si>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</si>
  <si>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</si>
  <si>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</si>
  <si>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2027-04-15</t>
  </si>
  <si>
    <t>2027-04-16</t>
  </si>
  <si>
    <t>2027-04-17</t>
  </si>
  <si>
    <t>2027-04-18</t>
  </si>
  <si>
    <t>2027-04-19</t>
  </si>
  <si>
    <t>2027-04-20</t>
  </si>
  <si>
    <t>2027-04-21</t>
  </si>
  <si>
    <t>2027-04-22</t>
  </si>
  <si>
    <t>2027-04-23</t>
  </si>
  <si>
    <t>2027-04-24</t>
  </si>
  <si>
    <t>2027-04-25</t>
  </si>
  <si>
    <t>2027-04-26</t>
  </si>
  <si>
    <t>2027-04-27</t>
  </si>
  <si>
    <t>2027-04-28</t>
  </si>
  <si>
    <t>2027-04-29</t>
  </si>
  <si>
    <t>2027-04-30</t>
  </si>
  <si>
    <t>2027-05-01</t>
  </si>
  <si>
    <t>2027-05-02</t>
  </si>
  <si>
    <t>2027-05-03</t>
  </si>
  <si>
    <t>2027-05-04</t>
  </si>
  <si>
    <t>2027-05-05</t>
  </si>
  <si>
    <t>2027-05-06</t>
  </si>
  <si>
    <t>2027-05-07</t>
  </si>
  <si>
    <t>2027-05-08</t>
  </si>
  <si>
    <t>2027-05-09</t>
  </si>
  <si>
    <t>2027-05-10</t>
  </si>
  <si>
    <t>2027-05-11</t>
  </si>
  <si>
    <t>2027-05-12</t>
  </si>
  <si>
    <t>2027-05-13</t>
  </si>
  <si>
    <t>2027-05-14</t>
  </si>
  <si>
    <t>2027-05-15</t>
  </si>
  <si>
    <t>2027-05-16</t>
  </si>
  <si>
    <t>2027-05-17</t>
  </si>
  <si>
    <t>2027-05-18</t>
  </si>
  <si>
    <t>2027-05-19</t>
  </si>
  <si>
    <t>2027-05-20</t>
  </si>
  <si>
    <t>2027-05-21</t>
  </si>
  <si>
    <t>2027-05-22</t>
  </si>
  <si>
    <t>2027-05-23</t>
  </si>
  <si>
    <t>2027-05-24</t>
  </si>
  <si>
    <t>2027-05-25</t>
  </si>
  <si>
    <t>2027-05-26</t>
  </si>
  <si>
    <t>2027-05-27</t>
  </si>
  <si>
    <t>2027-05-28</t>
  </si>
  <si>
    <t>2027-05-29</t>
  </si>
  <si>
    <t>2027-05-30</t>
  </si>
  <si>
    <t>2027-05-31</t>
  </si>
  <si>
    <t>2027-06-01</t>
  </si>
  <si>
    <t>2027-06-02</t>
  </si>
  <si>
    <t>2027-06-03</t>
  </si>
  <si>
    <t>2027-06-04</t>
  </si>
  <si>
    <t>2027-06-05</t>
  </si>
  <si>
    <t>2027-06-06</t>
  </si>
  <si>
    <t>2027-06-07</t>
  </si>
  <si>
    <t>2027-06-08</t>
  </si>
  <si>
    <t>2027-06-09</t>
  </si>
  <si>
    <t>2027-06-10</t>
  </si>
  <si>
    <t>2027-06-11</t>
  </si>
  <si>
    <t>2027-06-12</t>
  </si>
  <si>
    <t>2027-06-13</t>
  </si>
  <si>
    <t>2027-06-14</t>
  </si>
  <si>
    <t>2027-06-15</t>
  </si>
  <si>
    <t>2027-06-16</t>
  </si>
  <si>
    <t>2027-06-17</t>
  </si>
  <si>
    <t>2027-06-18</t>
  </si>
  <si>
    <t>2027-06-19</t>
  </si>
  <si>
    <t>2027-06-20</t>
  </si>
  <si>
    <t>2027-06-21</t>
  </si>
  <si>
    <t>2027-06-22</t>
  </si>
  <si>
    <t>2027-06-23</t>
  </si>
  <si>
    <t>2027-06-24</t>
  </si>
  <si>
    <t>2027-06-25</t>
  </si>
  <si>
    <t>2027-06-26</t>
  </si>
  <si>
    <t>2027-06-27</t>
  </si>
  <si>
    <t>2027-06-28</t>
  </si>
  <si>
    <t>2027-06-29</t>
  </si>
  <si>
    <t>2027-06-30</t>
  </si>
  <si>
    <t>2027-07-01</t>
  </si>
  <si>
    <t>2027-07-02</t>
  </si>
  <si>
    <t>2027-07-03</t>
  </si>
  <si>
    <t>2027-07-04</t>
  </si>
  <si>
    <t>2027-07-05</t>
  </si>
  <si>
    <t>2027-07-06</t>
  </si>
  <si>
    <t>2027-07-07</t>
  </si>
  <si>
    <t>2027-07-08</t>
  </si>
  <si>
    <t>2027-07-09</t>
  </si>
  <si>
    <t>2027-07-10</t>
  </si>
  <si>
    <t>2027-07-11</t>
  </si>
  <si>
    <t>2027-07-12</t>
  </si>
  <si>
    <t>2027-07-13</t>
  </si>
  <si>
    <t>2027-07-14</t>
  </si>
  <si>
    <t>2027-07-15</t>
  </si>
  <si>
    <t>2027-07-16</t>
  </si>
  <si>
    <t>2027-07-17</t>
  </si>
  <si>
    <t>2027-07-18</t>
  </si>
  <si>
    <t>2027-07-19</t>
  </si>
  <si>
    <t>2027-07-20</t>
  </si>
  <si>
    <t>2027-07-21</t>
  </si>
  <si>
    <t>2027-07-22</t>
  </si>
  <si>
    <t>2027-07-23</t>
  </si>
  <si>
    <t>2027-07-24</t>
  </si>
  <si>
    <t>2027-07-25</t>
  </si>
  <si>
    <t>2027-07-26</t>
  </si>
  <si>
    <t>2027-07-27</t>
  </si>
  <si>
    <t>2027-07-28</t>
  </si>
  <si>
    <t>2027-07-29</t>
  </si>
  <si>
    <t>2027-07-30</t>
  </si>
  <si>
    <t>2027-07-31</t>
  </si>
  <si>
    <t>2027-08-01</t>
  </si>
  <si>
    <t>2027-08-02</t>
  </si>
  <si>
    <t>2027-08-03</t>
  </si>
  <si>
    <t>2027-08-04</t>
  </si>
  <si>
    <t>2027-08-05</t>
  </si>
  <si>
    <t>2027-08-06</t>
  </si>
  <si>
    <t>2027-08-07</t>
  </si>
  <si>
    <t>2027-08-08</t>
  </si>
  <si>
    <t>2027-08-09</t>
  </si>
  <si>
    <t>2027-08-10</t>
  </si>
  <si>
    <t>2027-08-11</t>
  </si>
  <si>
    <t>2027-08-12</t>
  </si>
  <si>
    <t>2027-08-13</t>
  </si>
  <si>
    <t>2027-08-14</t>
  </si>
  <si>
    <t>2027-08-15</t>
  </si>
  <si>
    <t>2027-08-16</t>
  </si>
  <si>
    <t>2027-08-17</t>
  </si>
  <si>
    <t>2027-08-18</t>
  </si>
  <si>
    <t>2027-08-19</t>
  </si>
  <si>
    <t>2027-08-20</t>
  </si>
  <si>
    <t>2027-08-21</t>
  </si>
  <si>
    <t>2027-08-22</t>
  </si>
  <si>
    <t>2027-08-23</t>
  </si>
  <si>
    <t>2027-08-24</t>
  </si>
  <si>
    <t>2027-08-25</t>
  </si>
  <si>
    <t>2027-08-26</t>
  </si>
  <si>
    <t>2027-08-27</t>
  </si>
  <si>
    <t>2027-08-28</t>
  </si>
  <si>
    <t>2027-08-29</t>
  </si>
  <si>
    <t>2027-08-30</t>
  </si>
  <si>
    <t>2027-08-31</t>
  </si>
  <si>
    <t>2027-09-01</t>
  </si>
  <si>
    <t>2027-09-02</t>
  </si>
  <si>
    <t>2027-09-03</t>
  </si>
  <si>
    <t>2027-09-04</t>
  </si>
  <si>
    <t>2027-09-05</t>
  </si>
  <si>
    <t>2027-09-06</t>
  </si>
  <si>
    <t>2027-09-07</t>
  </si>
  <si>
    <t>2027-09-08</t>
  </si>
  <si>
    <t>2027-09-09</t>
  </si>
  <si>
    <t>2027-09-10</t>
  </si>
  <si>
    <t>2027-09-11</t>
  </si>
  <si>
    <t>2027-09-12</t>
  </si>
  <si>
    <t>2027-09-13</t>
  </si>
  <si>
    <t>2027-09-14</t>
  </si>
  <si>
    <t>2027-09-15</t>
  </si>
  <si>
    <t>2027-09-16</t>
  </si>
  <si>
    <t>2027-09-17</t>
  </si>
  <si>
    <t>2027-09-18</t>
  </si>
  <si>
    <t>2027-09-19</t>
  </si>
  <si>
    <t>2027-09-20</t>
  </si>
  <si>
    <t>2027-09-21</t>
  </si>
  <si>
    <t>2027-09-22</t>
  </si>
  <si>
    <t>2027-09-23</t>
  </si>
  <si>
    <t>2027-09-24</t>
  </si>
  <si>
    <t>2027-09-25</t>
  </si>
  <si>
    <t>2027-09-26</t>
  </si>
  <si>
    <t>2027-09-27</t>
  </si>
  <si>
    <t>2027-09-28</t>
  </si>
  <si>
    <t>2027-09-29</t>
  </si>
  <si>
    <t>2027-09-30</t>
  </si>
  <si>
    <t>2027-10-01</t>
  </si>
  <si>
    <t>2027-10-02</t>
  </si>
  <si>
    <t>2027-10-03</t>
  </si>
  <si>
    <t>2027-10-04</t>
  </si>
  <si>
    <t>2027-10-05</t>
  </si>
  <si>
    <t>2027-10-06</t>
  </si>
  <si>
    <t>2027-10-07</t>
  </si>
  <si>
    <t>2027-10-08</t>
  </si>
  <si>
    <t>2027-10-09</t>
  </si>
  <si>
    <t>2027-10-10</t>
  </si>
  <si>
    <t>2027-10-11</t>
  </si>
  <si>
    <t>2027-10-12</t>
  </si>
  <si>
    <t>2027-10-13</t>
  </si>
  <si>
    <t>2027-10-14</t>
  </si>
  <si>
    <t>2027-10-15</t>
  </si>
  <si>
    <t>2027-10-16</t>
  </si>
  <si>
    <t>2027-10-17</t>
  </si>
  <si>
    <t>2027-10-18</t>
  </si>
  <si>
    <t>2027-10-19</t>
  </si>
  <si>
    <t>2027-10-20</t>
  </si>
  <si>
    <t>2027-10-21</t>
  </si>
  <si>
    <t>2027-10-22</t>
  </si>
  <si>
    <t>2027-10-23</t>
  </si>
  <si>
    <t>2027-10-24</t>
  </si>
  <si>
    <t>2027-10-25</t>
  </si>
  <si>
    <t>2027-10-26</t>
  </si>
  <si>
    <t>2027-10-27</t>
  </si>
  <si>
    <t>2027-10-28</t>
  </si>
  <si>
    <t>2027-10-29</t>
  </si>
  <si>
    <t>2027-10-30</t>
  </si>
  <si>
    <t>2027-10-31</t>
  </si>
  <si>
    <t>2027-11-01</t>
  </si>
  <si>
    <t>2027-11-02</t>
  </si>
  <si>
    <t>2027-11-03</t>
  </si>
  <si>
    <t>2027-11-04</t>
  </si>
  <si>
    <t>2027-11-05</t>
  </si>
  <si>
    <t>2027-11-06</t>
  </si>
  <si>
    <t>2027-11-07</t>
  </si>
  <si>
    <t>2027-11-08</t>
  </si>
  <si>
    <t>2027-11-09</t>
  </si>
  <si>
    <t>2027-11-10</t>
  </si>
  <si>
    <t>2027-11-11</t>
  </si>
  <si>
    <t>2027-11-12</t>
  </si>
  <si>
    <t>2027-11-13</t>
  </si>
  <si>
    <t>2027-11-14</t>
  </si>
  <si>
    <t>2027-11-15</t>
  </si>
  <si>
    <t>2027-11-16</t>
  </si>
  <si>
    <t>2027-11-17</t>
  </si>
  <si>
    <t>2027-11-18</t>
  </si>
  <si>
    <t>2027-11-19</t>
  </si>
  <si>
    <t>2027-11-20</t>
  </si>
  <si>
    <t>2027-11-21</t>
  </si>
  <si>
    <t>2027-11-22</t>
  </si>
  <si>
    <t>2027-11-23</t>
  </si>
  <si>
    <t>2027-11-24</t>
  </si>
  <si>
    <t>2027-11-25</t>
  </si>
  <si>
    <t>2027-11-26</t>
  </si>
  <si>
    <t>2027-11-27</t>
  </si>
  <si>
    <t>2027-11-28</t>
  </si>
  <si>
    <t>2027-11-29</t>
  </si>
  <si>
    <t>2027-11-30</t>
  </si>
  <si>
    <t>2027-12-01</t>
  </si>
  <si>
    <t>2027-12-02</t>
  </si>
  <si>
    <t>2027-12-03</t>
  </si>
  <si>
    <t>2027-12-04</t>
  </si>
  <si>
    <t>2027-12-05</t>
  </si>
  <si>
    <t>2027-12-06</t>
  </si>
  <si>
    <t>2027-12-07</t>
  </si>
  <si>
    <t>2027-12-08</t>
  </si>
  <si>
    <t>2027-12-09</t>
  </si>
  <si>
    <t>2027-12-10</t>
  </si>
  <si>
    <t>2027-12-11</t>
  </si>
  <si>
    <t>2027-12-12</t>
  </si>
  <si>
    <t>2027-12-13</t>
  </si>
  <si>
    <t>2027-12-14</t>
  </si>
  <si>
    <t>2027-12-15</t>
  </si>
  <si>
    <t>2027-12-16</t>
  </si>
  <si>
    <t>2027-12-17</t>
  </si>
  <si>
    <t>2027-12-18</t>
  </si>
  <si>
    <t>2027-12-19</t>
  </si>
  <si>
    <t>2027-12-20</t>
  </si>
  <si>
    <t>2027-12-21</t>
  </si>
  <si>
    <t>2027-12-22</t>
  </si>
  <si>
    <t>2027-12-23</t>
  </si>
  <si>
    <t>2027-12-24</t>
  </si>
  <si>
    <t>2027-12-25</t>
  </si>
  <si>
    <t>2027-12-26</t>
  </si>
  <si>
    <t>2027-12-27</t>
  </si>
  <si>
    <t>2027-12-28</t>
  </si>
  <si>
    <t>2027-12-29</t>
  </si>
  <si>
    <t>2027-12-30</t>
  </si>
  <si>
    <t>2027-12-31</t>
  </si>
  <si>
    <t>2028-01-01</t>
  </si>
  <si>
    <t>2028-01-02</t>
  </si>
  <si>
    <t>2028-01-03</t>
  </si>
  <si>
    <t>2028-01-04</t>
  </si>
  <si>
    <t>2028-01-05</t>
  </si>
  <si>
    <t>2028-01-06</t>
  </si>
  <si>
    <t>2028-01-07</t>
  </si>
  <si>
    <t>2028-01-08</t>
  </si>
  <si>
    <t>2028-01-09</t>
  </si>
  <si>
    <t>2028-01-10</t>
  </si>
  <si>
    <t>2028-01-11</t>
  </si>
  <si>
    <t>2028-01-12</t>
  </si>
  <si>
    <t>2028-01-13</t>
  </si>
  <si>
    <t>2028-01-14</t>
  </si>
  <si>
    <t>2028-01-15</t>
  </si>
  <si>
    <t>2028-01-16</t>
  </si>
  <si>
    <t>2028-01-17</t>
  </si>
  <si>
    <t>2028-01-18</t>
  </si>
  <si>
    <t>2028-01-19</t>
  </si>
  <si>
    <t>2028-01-20</t>
  </si>
  <si>
    <t>2028-01-21</t>
  </si>
  <si>
    <t>2028-01-22</t>
  </si>
  <si>
    <t>2028-01-23</t>
  </si>
  <si>
    <t>2028-01-24</t>
  </si>
  <si>
    <t>2028-01-25</t>
  </si>
  <si>
    <t>2028-01-26</t>
  </si>
  <si>
    <t>2028-01-27</t>
  </si>
  <si>
    <t>2028-01-28</t>
  </si>
  <si>
    <t>2028-01-29</t>
  </si>
  <si>
    <t>2028-01-30</t>
  </si>
  <si>
    <t>2028-01-31</t>
  </si>
  <si>
    <t>2028-02-01</t>
  </si>
  <si>
    <t>2028-02-02</t>
  </si>
  <si>
    <t>2028-02-03</t>
  </si>
  <si>
    <t>2028-02-04</t>
  </si>
  <si>
    <t>2028-02-05</t>
  </si>
  <si>
    <t>2028-02-06</t>
  </si>
  <si>
    <t>2028-02-07</t>
  </si>
  <si>
    <t>2028-02-08</t>
  </si>
  <si>
    <t>2028-02-09</t>
  </si>
  <si>
    <t>2028-02-10</t>
  </si>
  <si>
    <t>2028-02-11</t>
  </si>
  <si>
    <t>2028-02-12</t>
  </si>
  <si>
    <t>2028-02-13</t>
  </si>
  <si>
    <t>2028-02-14</t>
  </si>
  <si>
    <t>2028-02-15</t>
  </si>
  <si>
    <t>2028-02-16</t>
  </si>
  <si>
    <t>2028-02-17</t>
  </si>
  <si>
    <t>2028-02-18</t>
  </si>
  <si>
    <t>2028-02-19</t>
  </si>
  <si>
    <t>2028-02-20</t>
  </si>
  <si>
    <t>2028-02-21</t>
  </si>
  <si>
    <t>2028-02-22</t>
  </si>
  <si>
    <t>2028-02-23</t>
  </si>
  <si>
    <t>2028-02-24</t>
  </si>
  <si>
    <t>2028-02-25</t>
  </si>
  <si>
    <t>2028-02-26</t>
  </si>
  <si>
    <t>2028-02-27</t>
  </si>
  <si>
    <t>2028-02-28</t>
  </si>
  <si>
    <t>2028-02-29</t>
  </si>
  <si>
    <t>2028-03-01</t>
  </si>
  <si>
    <t>2028-03-02</t>
  </si>
  <si>
    <t>2028-03-03</t>
  </si>
  <si>
    <t>2028-03-04</t>
  </si>
  <si>
    <t>2028-03-05</t>
  </si>
  <si>
    <t>2028-03-06</t>
  </si>
  <si>
    <t>2028-03-07</t>
  </si>
  <si>
    <t>2028-03-08</t>
  </si>
  <si>
    <t>2028-03-09</t>
  </si>
  <si>
    <t>2028-03-10</t>
  </si>
  <si>
    <t>2028-03-11</t>
  </si>
  <si>
    <t>2028-03-12</t>
  </si>
  <si>
    <t>2028-03-13</t>
  </si>
  <si>
    <t>2028-03-14</t>
  </si>
  <si>
    <t>2028-03-15</t>
  </si>
  <si>
    <t>2028-03-16</t>
  </si>
  <si>
    <t>2028-03-17</t>
  </si>
  <si>
    <t>2028-03-18</t>
  </si>
  <si>
    <t>2028-03-19</t>
  </si>
  <si>
    <t>2028-03-20</t>
  </si>
  <si>
    <t>2028-03-21</t>
  </si>
  <si>
    <t>2028-03-22</t>
  </si>
  <si>
    <t>2028-03-23</t>
  </si>
  <si>
    <t>2028-03-24</t>
  </si>
  <si>
    <t>2028-03-25</t>
  </si>
  <si>
    <t>2028-03-26</t>
  </si>
  <si>
    <t>2028-03-27</t>
  </si>
  <si>
    <t>2028-03-28</t>
  </si>
  <si>
    <t>2028-03-29</t>
  </si>
  <si>
    <t>2028-03-30</t>
  </si>
  <si>
    <t>2028-03-31</t>
  </si>
  <si>
    <t>2028-04-01</t>
  </si>
  <si>
    <t>2028-04-02</t>
  </si>
  <si>
    <t>2028-04-03</t>
  </si>
  <si>
    <t>2028-04-04</t>
  </si>
  <si>
    <t>2028-04-05</t>
  </si>
  <si>
    <t>2028-04-06</t>
  </si>
  <si>
    <t>2028-04-07</t>
  </si>
  <si>
    <t>2028-04-08</t>
  </si>
  <si>
    <t>2028-04-09</t>
  </si>
  <si>
    <t>2028-04-10</t>
  </si>
  <si>
    <t>2028-04-11</t>
  </si>
  <si>
    <t>2028-04-12</t>
  </si>
  <si>
    <t>2028-04-13</t>
  </si>
  <si>
    <t>2028-04-14</t>
  </si>
  <si>
    <t>2028-04-15</t>
  </si>
  <si>
    <t>2028-04-16</t>
  </si>
  <si>
    <t>2028-04-17</t>
  </si>
  <si>
    <t>2028-04-18</t>
  </si>
  <si>
    <t>2028-04-19</t>
  </si>
  <si>
    <t>2028-04-20</t>
  </si>
  <si>
    <t>2028-04-21</t>
  </si>
  <si>
    <t>2028-04-22</t>
  </si>
  <si>
    <t>2028-04-23</t>
  </si>
  <si>
    <t>2028-04-24</t>
  </si>
  <si>
    <t>2028-04-25</t>
  </si>
  <si>
    <t>2028-04-26</t>
  </si>
  <si>
    <t>2028-04-27</t>
  </si>
  <si>
    <t>2028-04-28</t>
  </si>
  <si>
    <t>2028-04-29</t>
  </si>
  <si>
    <t>2028-04-30</t>
  </si>
  <si>
    <t>2028-05-01</t>
  </si>
  <si>
    <t>2028-05-02</t>
  </si>
  <si>
    <t>2028-05-03</t>
  </si>
  <si>
    <t>2028-05-04</t>
  </si>
  <si>
    <t>2028-05-05</t>
  </si>
  <si>
    <t>2028-05-06</t>
  </si>
  <si>
    <t>2028-05-07</t>
  </si>
  <si>
    <t>2028-05-08</t>
  </si>
  <si>
    <t>2028-05-09</t>
  </si>
  <si>
    <t>2028-05-10</t>
  </si>
  <si>
    <t>2028-05-11</t>
  </si>
  <si>
    <t>2028-05-12</t>
  </si>
  <si>
    <t>2028-05-13</t>
  </si>
  <si>
    <t>2028-05-14</t>
  </si>
  <si>
    <t>2028-05-15</t>
  </si>
  <si>
    <t>2028-05-16</t>
  </si>
  <si>
    <t>2028-05-17</t>
  </si>
  <si>
    <t>2028-05-18</t>
  </si>
  <si>
    <t>2028-05-19</t>
  </si>
  <si>
    <t>2028-05-20</t>
  </si>
  <si>
    <t>2028-05-21</t>
  </si>
  <si>
    <t>2028-05-22</t>
  </si>
  <si>
    <t>2028-05-23</t>
  </si>
  <si>
    <t>2028-05-24</t>
  </si>
  <si>
    <t>2028-05-25</t>
  </si>
  <si>
    <t>2028-05-26</t>
  </si>
  <si>
    <t>2028-05-27</t>
  </si>
  <si>
    <t>2028-05-28</t>
  </si>
  <si>
    <t>2028-05-29</t>
  </si>
  <si>
    <t>2028-05-30</t>
  </si>
  <si>
    <t>2028-05-31</t>
  </si>
  <si>
    <t>2028-06-01</t>
  </si>
  <si>
    <t>2028-06-02</t>
  </si>
  <si>
    <t>2028-06-03</t>
  </si>
  <si>
    <t>2028-06-04</t>
  </si>
  <si>
    <t>2028-06-05</t>
  </si>
  <si>
    <t>2028-06-06</t>
  </si>
  <si>
    <t>2028-06-07</t>
  </si>
  <si>
    <t>2028-06-08</t>
  </si>
  <si>
    <t>2028-06-09</t>
  </si>
  <si>
    <t>2028-06-10</t>
  </si>
  <si>
    <t>2028-06-11</t>
  </si>
  <si>
    <t>2028-06-12</t>
  </si>
  <si>
    <t>2028-06-13</t>
  </si>
  <si>
    <t>2028-06-14</t>
  </si>
  <si>
    <t>2028-06-15</t>
  </si>
  <si>
    <t>2028-06-16</t>
  </si>
  <si>
    <t>2028-06-17</t>
  </si>
  <si>
    <t>2028-06-18</t>
  </si>
  <si>
    <t>2028-06-19</t>
  </si>
  <si>
    <t>2028-06-20</t>
  </si>
  <si>
    <t>2028-06-21</t>
  </si>
  <si>
    <t>2028-06-22</t>
  </si>
  <si>
    <t>2028-06-23</t>
  </si>
  <si>
    <t>2028-06-24</t>
  </si>
  <si>
    <t>2028-06-25</t>
  </si>
  <si>
    <t>2028-06-26</t>
  </si>
  <si>
    <t>2028-06-27</t>
  </si>
  <si>
    <t>2028-06-28</t>
  </si>
  <si>
    <t>2028-06-29</t>
  </si>
  <si>
    <t>2028-06-30</t>
  </si>
  <si>
    <t>2028-07-01</t>
  </si>
  <si>
    <t>2028-07-02</t>
  </si>
  <si>
    <t>2028-07-03</t>
  </si>
  <si>
    <t>2028-07-04</t>
  </si>
  <si>
    <t>2028-07-05</t>
  </si>
  <si>
    <t>2028-07-06</t>
  </si>
  <si>
    <t>2028-07-07</t>
  </si>
  <si>
    <t>2028-07-08</t>
  </si>
  <si>
    <t>2028-07-09</t>
  </si>
  <si>
    <t>2028-07-10</t>
  </si>
  <si>
    <t>2028-07-11</t>
  </si>
  <si>
    <t>2028-07-12</t>
  </si>
  <si>
    <t>2028-07-13</t>
  </si>
  <si>
    <t>2028-07-14</t>
  </si>
  <si>
    <t>2028-07-15</t>
  </si>
  <si>
    <t>2028-07-16</t>
  </si>
  <si>
    <t>2028-07-17</t>
  </si>
  <si>
    <t>2028-07-18</t>
  </si>
  <si>
    <t>2028-07-19</t>
  </si>
  <si>
    <t>2028-07-20</t>
  </si>
  <si>
    <t>2028-07-21</t>
  </si>
  <si>
    <t>2028-07-22</t>
  </si>
  <si>
    <t>2028-07-23</t>
  </si>
  <si>
    <t>2028-07-24</t>
  </si>
  <si>
    <t>2028-07-25</t>
  </si>
  <si>
    <t>2028-07-26</t>
  </si>
  <si>
    <t>2028-07-27</t>
  </si>
  <si>
    <t>2028-07-28</t>
  </si>
  <si>
    <t>2028-07-29</t>
  </si>
  <si>
    <t>2028-07-30</t>
  </si>
  <si>
    <t>2028-07-31</t>
  </si>
  <si>
    <t>2028-08-01</t>
  </si>
  <si>
    <t>2028-08-02</t>
  </si>
  <si>
    <t>2028-08-03</t>
  </si>
  <si>
    <t>2028-08-04</t>
  </si>
  <si>
    <t>2028-08-05</t>
  </si>
  <si>
    <t>2028-08-06</t>
  </si>
  <si>
    <t>2028-08-07</t>
  </si>
  <si>
    <t>2028-08-08</t>
  </si>
  <si>
    <t>2028-08-09</t>
  </si>
  <si>
    <t>2028-08-10</t>
  </si>
  <si>
    <t>2028-08-11</t>
  </si>
  <si>
    <t>2028-08-12</t>
  </si>
  <si>
    <t>2028-08-13</t>
  </si>
  <si>
    <t>2028-08-14</t>
  </si>
  <si>
    <t>2028-08-15</t>
  </si>
  <si>
    <t>2028-08-16</t>
  </si>
  <si>
    <t>2028-08-17</t>
  </si>
  <si>
    <t>2028-08-18</t>
  </si>
  <si>
    <t>2028-08-19</t>
  </si>
  <si>
    <t>2028-08-20</t>
  </si>
  <si>
    <t>2028-08-21</t>
  </si>
  <si>
    <t>2028-08-22</t>
  </si>
  <si>
    <t>2028-08-23</t>
  </si>
  <si>
    <t>2028-08-24</t>
  </si>
  <si>
    <t>2028-08-25</t>
  </si>
  <si>
    <t>2028-08-26</t>
  </si>
  <si>
    <t>2028-08-27</t>
  </si>
  <si>
    <t>2028-08-28</t>
  </si>
  <si>
    <t>2028-08-29</t>
  </si>
  <si>
    <t>2028-08-30</t>
  </si>
  <si>
    <t>2028-08-31</t>
  </si>
  <si>
    <t>2028-09-01</t>
  </si>
  <si>
    <t>2028-09-02</t>
  </si>
  <si>
    <t>2028-09-03</t>
  </si>
  <si>
    <t>2028-09-04</t>
  </si>
  <si>
    <t>2028-09-05</t>
  </si>
  <si>
    <t>2028-09-06</t>
  </si>
  <si>
    <t>2028-09-07</t>
  </si>
  <si>
    <t>2028-09-08</t>
  </si>
  <si>
    <t>2028-09-09</t>
  </si>
  <si>
    <t>2028-09-10</t>
  </si>
  <si>
    <t>2028-09-11</t>
  </si>
  <si>
    <t>2028-09-12</t>
  </si>
  <si>
    <t>2028-09-13</t>
  </si>
  <si>
    <t>2028-09-14</t>
  </si>
  <si>
    <t>2028-09-15</t>
  </si>
  <si>
    <t>2028-09-16</t>
  </si>
  <si>
    <t>2028-09-17</t>
  </si>
  <si>
    <t>2028-09-18</t>
  </si>
  <si>
    <t>2028-09-19</t>
  </si>
  <si>
    <t>2028-09-20</t>
  </si>
  <si>
    <t>2028-09-21</t>
  </si>
  <si>
    <t>2028-09-22</t>
  </si>
  <si>
    <t>2028-09-23</t>
  </si>
  <si>
    <t>2028-09-24</t>
  </si>
  <si>
    <t>2028-09-25</t>
  </si>
  <si>
    <t>2028-09-26</t>
  </si>
  <si>
    <t>2028-09-27</t>
  </si>
  <si>
    <t>2028-09-28</t>
  </si>
  <si>
    <t>2028-09-29</t>
  </si>
  <si>
    <t>2028-09-30</t>
  </si>
  <si>
    <t>2028-10-01</t>
  </si>
  <si>
    <t>2028-10-02</t>
  </si>
  <si>
    <t>2028-10-03</t>
  </si>
  <si>
    <t>2028-10-04</t>
  </si>
  <si>
    <t>2028-10-05</t>
  </si>
  <si>
    <t>2028-10-06</t>
  </si>
  <si>
    <t>2028-10-07</t>
  </si>
  <si>
    <t>2028-10-08</t>
  </si>
  <si>
    <t>2028-10-09</t>
  </si>
  <si>
    <t>2028-10-10</t>
  </si>
  <si>
    <t>2028-10-11</t>
  </si>
  <si>
    <t>2028-10-12</t>
  </si>
  <si>
    <t>2028-10-13</t>
  </si>
  <si>
    <t>2028-10-14</t>
  </si>
  <si>
    <t>2028-10-15</t>
  </si>
  <si>
    <t>2028-10-16</t>
  </si>
  <si>
    <t>2028-10-17</t>
  </si>
  <si>
    <t>2028-10-18</t>
  </si>
  <si>
    <t>2028-10-19</t>
  </si>
  <si>
    <t>2028-10-20</t>
  </si>
  <si>
    <t>2028-10-21</t>
  </si>
  <si>
    <t>2028-10-22</t>
  </si>
  <si>
    <t>2028-10-23</t>
  </si>
  <si>
    <t>2028-10-24</t>
  </si>
  <si>
    <t>2028-10-25</t>
  </si>
  <si>
    <t>2028-10-26</t>
  </si>
  <si>
    <t>2028-10-27</t>
  </si>
  <si>
    <t>2028-10-28</t>
  </si>
  <si>
    <t>2028-10-29</t>
  </si>
  <si>
    <t>2028-10-30</t>
  </si>
  <si>
    <t>2028-10-31</t>
  </si>
  <si>
    <t>2028-11-01</t>
  </si>
  <si>
    <t>2028-11-02</t>
  </si>
  <si>
    <t>2028-11-03</t>
  </si>
  <si>
    <t>2028-11-04</t>
  </si>
  <si>
    <t>2028-11-05</t>
  </si>
  <si>
    <t>2028-11-06</t>
  </si>
  <si>
    <t>2028-11-07</t>
  </si>
  <si>
    <t>2028-11-08</t>
  </si>
  <si>
    <t>2028-11-09</t>
  </si>
  <si>
    <t>2028-11-10</t>
  </si>
  <si>
    <t>2028-11-11</t>
  </si>
  <si>
    <t>2028-11-12</t>
  </si>
  <si>
    <t>2028-11-13</t>
  </si>
  <si>
    <t>2028-11-14</t>
  </si>
  <si>
    <t>2028-11-15</t>
  </si>
  <si>
    <t>2028-11-16</t>
  </si>
  <si>
    <t>2028-11-17</t>
  </si>
  <si>
    <t>2028-11-18</t>
  </si>
  <si>
    <t>2028-11-19</t>
  </si>
  <si>
    <t>2028-11-20</t>
  </si>
  <si>
    <t>2028-11-21</t>
  </si>
  <si>
    <t>2028-11-22</t>
  </si>
  <si>
    <t>2028-11-23</t>
  </si>
  <si>
    <t>2028-11-24</t>
  </si>
  <si>
    <t>2028-11-25</t>
  </si>
  <si>
    <t>2028-11-26</t>
  </si>
  <si>
    <t>2028-11-27</t>
  </si>
  <si>
    <t>2028-11-28</t>
  </si>
  <si>
    <t>2028-11-29</t>
  </si>
  <si>
    <t>2028-11-30</t>
  </si>
  <si>
    <t>2028-12-01</t>
  </si>
  <si>
    <t>2028-12-02</t>
  </si>
  <si>
    <t>2028-12-03</t>
  </si>
  <si>
    <t>2028-12-04</t>
  </si>
  <si>
    <t>2028-12-05</t>
  </si>
  <si>
    <t>2028-12-06</t>
  </si>
  <si>
    <t>2028-12-07</t>
  </si>
  <si>
    <t>2028-12-08</t>
  </si>
  <si>
    <t>2028-12-09</t>
  </si>
  <si>
    <t>2028-12-10</t>
  </si>
  <si>
    <t>2028-12-11</t>
  </si>
  <si>
    <t>2028-12-12</t>
  </si>
  <si>
    <t>2028-12-13</t>
  </si>
  <si>
    <t>2028-12-14</t>
  </si>
  <si>
    <t>2028-12-15</t>
  </si>
  <si>
    <t>2028-12-16</t>
  </si>
  <si>
    <t>2028-12-17</t>
  </si>
  <si>
    <t>2028-12-18</t>
  </si>
  <si>
    <t>2028-12-19</t>
  </si>
  <si>
    <t>2028-12-20</t>
  </si>
  <si>
    <t>2028-12-21</t>
  </si>
  <si>
    <t>2028-12-22</t>
  </si>
  <si>
    <t>2028-12-23</t>
  </si>
  <si>
    <t>2028-12-24</t>
  </si>
  <si>
    <t>2028-12-25</t>
  </si>
  <si>
    <t>2028-12-26</t>
  </si>
  <si>
    <t>2028-12-27</t>
  </si>
  <si>
    <t>2028-12-28</t>
  </si>
  <si>
    <t>2028-12-29</t>
  </si>
  <si>
    <t>2028-12-30</t>
  </si>
  <si>
    <t>2028-12-31</t>
  </si>
  <si>
    <t>2029-01-01</t>
  </si>
  <si>
    <t>2029-01-02</t>
  </si>
  <si>
    <t>2029-01-03</t>
  </si>
  <si>
    <t>2029-01-04</t>
  </si>
  <si>
    <t>2029-01-05</t>
  </si>
  <si>
    <t>2029-01-06</t>
  </si>
  <si>
    <t>2029-01-07</t>
  </si>
  <si>
    <t>2029-01-08</t>
  </si>
  <si>
    <t>2029-01-09</t>
  </si>
  <si>
    <t>2029-01-10</t>
  </si>
  <si>
    <t>2029-01-11</t>
  </si>
  <si>
    <t>2029-01-12</t>
  </si>
  <si>
    <t>2029-01-13</t>
  </si>
  <si>
    <t>2029-01-14</t>
  </si>
  <si>
    <t>2029-01-15</t>
  </si>
  <si>
    <t>2029-01-16</t>
  </si>
  <si>
    <t>2029-01-17</t>
  </si>
  <si>
    <t>2029-01-18</t>
  </si>
  <si>
    <t>2029-01-19</t>
  </si>
  <si>
    <t>2029-01-20</t>
  </si>
  <si>
    <t>2029-01-21</t>
  </si>
  <si>
    <t>2029-01-22</t>
  </si>
  <si>
    <t>2029-01-23</t>
  </si>
  <si>
    <t>2029-01-24</t>
  </si>
  <si>
    <t>2029-01-25</t>
  </si>
  <si>
    <t>2029-01-26</t>
  </si>
  <si>
    <t>2029-01-27</t>
  </si>
  <si>
    <t>2029-01-28</t>
  </si>
  <si>
    <t>2029-01-29</t>
  </si>
  <si>
    <t>2029-01-30</t>
  </si>
  <si>
    <t>2029-01-31</t>
  </si>
  <si>
    <t>2029-02-01</t>
  </si>
  <si>
    <t>2029-02-02</t>
  </si>
  <si>
    <t>2029-02-03</t>
  </si>
  <si>
    <t>2029-02-04</t>
  </si>
  <si>
    <t>2029-02-05</t>
  </si>
  <si>
    <t>2029-02-06</t>
  </si>
  <si>
    <t>2029-02-07</t>
  </si>
  <si>
    <t>2029-02-08</t>
  </si>
  <si>
    <t>2029-02-09</t>
  </si>
  <si>
    <t>2029-02-10</t>
  </si>
  <si>
    <t>2029-02-11</t>
  </si>
  <si>
    <t>2029-02-12</t>
  </si>
  <si>
    <t>2029-02-13</t>
  </si>
  <si>
    <t>2029-02-14</t>
  </si>
  <si>
    <t>2029-02-15</t>
  </si>
  <si>
    <t>2029-02-16</t>
  </si>
  <si>
    <t>2029-02-17</t>
  </si>
  <si>
    <t>2029-02-18</t>
  </si>
  <si>
    <t>2029-02-19</t>
  </si>
  <si>
    <t>2029-02-20</t>
  </si>
  <si>
    <t>2029-02-21</t>
  </si>
  <si>
    <t>2029-02-22</t>
  </si>
  <si>
    <t>2029-02-23</t>
  </si>
  <si>
    <t>2029-02-24</t>
  </si>
  <si>
    <t>2029-02-25</t>
  </si>
  <si>
    <t>2029-02-26</t>
  </si>
  <si>
    <t>2029-02-27</t>
  </si>
  <si>
    <t>2029-02-28</t>
  </si>
  <si>
    <t>2029-03-01</t>
  </si>
  <si>
    <t>2029-03-02</t>
  </si>
  <si>
    <t>2029-03-03</t>
  </si>
  <si>
    <t>2029-03-04</t>
  </si>
  <si>
    <t>2029-03-05</t>
  </si>
  <si>
    <t>2029-03-06</t>
  </si>
  <si>
    <t>2029-03-07</t>
  </si>
  <si>
    <t>2029-03-08</t>
  </si>
  <si>
    <t>2029-03-09</t>
  </si>
  <si>
    <t>2029-03-10</t>
  </si>
  <si>
    <t>2029-03-11</t>
  </si>
  <si>
    <t>2029-03-12</t>
  </si>
  <si>
    <t>2029-03-13</t>
  </si>
  <si>
    <t>2029-03-14</t>
  </si>
  <si>
    <t>2029-03-15</t>
  </si>
  <si>
    <t>2029-03-16</t>
  </si>
  <si>
    <t>2029-03-17</t>
  </si>
  <si>
    <t>2029-03-18</t>
  </si>
  <si>
    <t>2029-03-19</t>
  </si>
  <si>
    <t>2029-03-20</t>
  </si>
  <si>
    <t>2029-03-21</t>
  </si>
  <si>
    <t>2029-03-22</t>
  </si>
  <si>
    <t>2029-03-23</t>
  </si>
  <si>
    <t>2029-03-24</t>
  </si>
  <si>
    <t>2029-03-25</t>
  </si>
  <si>
    <t>2029-03-26</t>
  </si>
  <si>
    <t>2029-03-27</t>
  </si>
  <si>
    <t>2029-03-28</t>
  </si>
  <si>
    <t>2029-03-29</t>
  </si>
  <si>
    <t>2029-03-30</t>
  </si>
  <si>
    <t>2029-03-31</t>
  </si>
  <si>
    <t>2029-04-01</t>
  </si>
  <si>
    <t>2029-04-02</t>
  </si>
  <si>
    <t>2029-04-03</t>
  </si>
  <si>
    <t>2029-04-04</t>
  </si>
  <si>
    <t>2029-04-05</t>
  </si>
  <si>
    <t>2029-04-06</t>
  </si>
  <si>
    <t>2029-04-07</t>
  </si>
  <si>
    <t>2029-04-08</t>
  </si>
  <si>
    <t>2029-04-09</t>
  </si>
  <si>
    <t>2029-04-10</t>
  </si>
  <si>
    <t>2029-04-11</t>
  </si>
  <si>
    <t>2029-04-12</t>
  </si>
  <si>
    <t>2029-04-13</t>
  </si>
  <si>
    <t>2029-04-14</t>
  </si>
  <si>
    <t>2029-04-15</t>
  </si>
  <si>
    <t>2029-04-16</t>
  </si>
  <si>
    <t>2029-04-17</t>
  </si>
  <si>
    <t>2029-04-18</t>
  </si>
  <si>
    <t>2029-04-19</t>
  </si>
  <si>
    <t>2029-04-20</t>
  </si>
  <si>
    <t>2029-04-21</t>
  </si>
  <si>
    <t>2029-04-22</t>
  </si>
  <si>
    <t>2029-04-23</t>
  </si>
  <si>
    <t>2029-04-24</t>
  </si>
  <si>
    <t>2029-04-25</t>
  </si>
  <si>
    <t>2029-04-26</t>
  </si>
  <si>
    <t>2029-04-27</t>
  </si>
  <si>
    <t>2029-04-28</t>
  </si>
  <si>
    <t>2029-04-29</t>
  </si>
  <si>
    <t>2029-04-30</t>
  </si>
  <si>
    <t>2029-05-01</t>
  </si>
  <si>
    <t>2029-05-02</t>
  </si>
  <si>
    <t>2029-05-03</t>
  </si>
  <si>
    <t>2029-05-04</t>
  </si>
  <si>
    <t>2029-05-05</t>
  </si>
  <si>
    <t>2029-05-06</t>
  </si>
  <si>
    <t>2029-05-07</t>
  </si>
  <si>
    <t>2029-05-08</t>
  </si>
  <si>
    <t>2029-05-09</t>
  </si>
  <si>
    <t>2029-05-10</t>
  </si>
  <si>
    <t>2029-05-11</t>
  </si>
  <si>
    <t>2029-05-12</t>
  </si>
  <si>
    <t>2029-05-13</t>
  </si>
  <si>
    <t>2029-05-14</t>
  </si>
  <si>
    <t>2029-05-15</t>
  </si>
  <si>
    <t>2029-05-16</t>
  </si>
  <si>
    <t>2029-05-17</t>
  </si>
  <si>
    <t>2029-05-18</t>
  </si>
  <si>
    <t>2029-05-19</t>
  </si>
  <si>
    <t>2029-05-20</t>
  </si>
  <si>
    <t>2029-05-21</t>
  </si>
  <si>
    <t>2029-05-22</t>
  </si>
  <si>
    <t>2029-05-23</t>
  </si>
  <si>
    <t>2029-05-24</t>
  </si>
  <si>
    <t>2029-05-25</t>
  </si>
  <si>
    <t>2029-05-26</t>
  </si>
  <si>
    <t>2029-05-27</t>
  </si>
  <si>
    <t>2029-05-28</t>
  </si>
  <si>
    <t>2029-05-29</t>
  </si>
  <si>
    <t>2029-05-30</t>
  </si>
  <si>
    <t>2029-05-31</t>
  </si>
  <si>
    <t>2029-06-01</t>
  </si>
  <si>
    <t>2029-06-02</t>
  </si>
  <si>
    <t>2029-06-03</t>
  </si>
  <si>
    <t>2029-06-04</t>
  </si>
  <si>
    <t>2029-06-05</t>
  </si>
  <si>
    <t>2029-06-06</t>
  </si>
  <si>
    <t>2029-06-07</t>
  </si>
  <si>
    <t>2029-06-08</t>
  </si>
  <si>
    <t>2029-06-09</t>
  </si>
  <si>
    <t>2029-06-10</t>
  </si>
  <si>
    <t>2029-06-11</t>
  </si>
  <si>
    <t>2029-06-12</t>
  </si>
  <si>
    <t>2029-06-13</t>
  </si>
  <si>
    <t>2029-06-14</t>
  </si>
  <si>
    <t>2029-06-15</t>
  </si>
  <si>
    <t>2029-06-16</t>
  </si>
  <si>
    <t>2029-06-17</t>
  </si>
  <si>
    <t>2029-06-18</t>
  </si>
  <si>
    <t>2029-06-19</t>
  </si>
  <si>
    <t>2029-06-20</t>
  </si>
  <si>
    <t>2029-06-21</t>
  </si>
  <si>
    <t>2029-06-22</t>
  </si>
  <si>
    <t>2029-06-23</t>
  </si>
  <si>
    <t>2029-06-24</t>
  </si>
  <si>
    <t>2029-06-25</t>
  </si>
  <si>
    <t>2029-06-26</t>
  </si>
  <si>
    <t>2029-06-27</t>
  </si>
  <si>
    <t>2029-06-28</t>
  </si>
  <si>
    <t>2029-06-29</t>
  </si>
  <si>
    <t>2029-06-30</t>
  </si>
  <si>
    <t>2029-07-01</t>
  </si>
  <si>
    <t>2029-07-02</t>
  </si>
  <si>
    <t>2029-07-03</t>
  </si>
  <si>
    <t>2029-07-04</t>
  </si>
  <si>
    <t>2029-07-05</t>
  </si>
  <si>
    <t>2029-07-06</t>
  </si>
  <si>
    <t>2029-07-07</t>
  </si>
  <si>
    <t>2029-07-08</t>
  </si>
  <si>
    <t>2029-07-09</t>
  </si>
  <si>
    <t>2029-07-10</t>
  </si>
  <si>
    <t>2029-07-11</t>
  </si>
  <si>
    <t>2029-07-12</t>
  </si>
  <si>
    <t>2029-07-13</t>
  </si>
  <si>
    <t>2029-07-14</t>
  </si>
  <si>
    <t>2029-07-15</t>
  </si>
  <si>
    <t>2029-07-16</t>
  </si>
  <si>
    <t>2029-07-17</t>
  </si>
  <si>
    <t>2029-07-18</t>
  </si>
  <si>
    <t>2029-07-19</t>
  </si>
  <si>
    <t>2029-07-20</t>
  </si>
  <si>
    <t>2029-07-21</t>
  </si>
  <si>
    <t>2029-07-22</t>
  </si>
  <si>
    <t>2029-07-23</t>
  </si>
  <si>
    <t>2029-07-24</t>
  </si>
  <si>
    <t>2029-07-25</t>
  </si>
  <si>
    <t>2029-07-26</t>
  </si>
  <si>
    <t>2029-07-27</t>
  </si>
  <si>
    <t>2029-07-28</t>
  </si>
  <si>
    <t>2029-07-29</t>
  </si>
  <si>
    <t>2029-07-30</t>
  </si>
  <si>
    <t>2029-07-31</t>
  </si>
  <si>
    <t>2029-08-01</t>
  </si>
  <si>
    <t>2029-08-02</t>
  </si>
  <si>
    <t>2029-08-03</t>
  </si>
  <si>
    <t>2029-08-04</t>
  </si>
  <si>
    <t>2029-08-05</t>
  </si>
  <si>
    <t>2029-08-06</t>
  </si>
  <si>
    <t>2029-08-07</t>
  </si>
  <si>
    <t>2029-08-08</t>
  </si>
  <si>
    <t>2029-08-09</t>
  </si>
  <si>
    <t>2029-08-10</t>
  </si>
  <si>
    <t>2029-08-11</t>
  </si>
  <si>
    <t>2029-08-12</t>
  </si>
  <si>
    <t>2029-08-13</t>
  </si>
  <si>
    <t>2029-08-14</t>
  </si>
  <si>
    <t>2029-08-15</t>
  </si>
  <si>
    <t>2029-08-16</t>
  </si>
  <si>
    <t>2029-08-17</t>
  </si>
  <si>
    <t>2029-08-18</t>
  </si>
  <si>
    <t>2029-08-19</t>
  </si>
  <si>
    <t>2029-08-20</t>
  </si>
  <si>
    <t>2029-08-21</t>
  </si>
  <si>
    <t>2029-08-22</t>
  </si>
  <si>
    <t>2029-08-23</t>
  </si>
  <si>
    <t>2029-08-24</t>
  </si>
  <si>
    <t>2029-08-25</t>
  </si>
  <si>
    <t>2029-08-26</t>
  </si>
  <si>
    <t>2029-08-27</t>
  </si>
  <si>
    <t>2029-08-28</t>
  </si>
  <si>
    <t>2029-08-29</t>
  </si>
  <si>
    <t>2029-08-30</t>
  </si>
  <si>
    <t>2029-08-31</t>
  </si>
  <si>
    <t>2029-09-01</t>
  </si>
  <si>
    <t>2029-09-02</t>
  </si>
  <si>
    <t>2029-09-03</t>
  </si>
  <si>
    <t>2029-09-04</t>
  </si>
  <si>
    <t>2029-09-05</t>
  </si>
  <si>
    <t>2029-09-06</t>
  </si>
  <si>
    <t>2029-09-07</t>
  </si>
  <si>
    <t>2029-09-08</t>
  </si>
  <si>
    <t>2029-09-09</t>
  </si>
  <si>
    <t>2029-09-10</t>
  </si>
  <si>
    <t>2029-09-11</t>
  </si>
  <si>
    <t>2029-09-12</t>
  </si>
  <si>
    <t>2029-09-13</t>
  </si>
  <si>
    <t>2029-09-14</t>
  </si>
  <si>
    <t>2029-09-15</t>
  </si>
  <si>
    <t>2029-09-16</t>
  </si>
  <si>
    <t>2029-09-17</t>
  </si>
  <si>
    <t>2029-09-18</t>
  </si>
  <si>
    <t>2029-09-19</t>
  </si>
  <si>
    <t>2029-09-20</t>
  </si>
  <si>
    <t>2029-09-21</t>
  </si>
  <si>
    <t>2029-09-22</t>
  </si>
  <si>
    <t>2029-09-23</t>
  </si>
  <si>
    <t>2029-09-24</t>
  </si>
  <si>
    <t>2029-09-25</t>
  </si>
  <si>
    <t>2029-09-26</t>
  </si>
  <si>
    <t>2029-09-27</t>
  </si>
  <si>
    <t>2029-09-28</t>
  </si>
  <si>
    <t>2029-09-29</t>
  </si>
  <si>
    <t>2029-09-30</t>
  </si>
  <si>
    <t>2029-10-01</t>
  </si>
  <si>
    <t>2029-10-02</t>
  </si>
  <si>
    <t>2029-10-03</t>
  </si>
  <si>
    <t>2029-10-04</t>
  </si>
  <si>
    <t>2029-10-05</t>
  </si>
  <si>
    <t>2029-10-06</t>
  </si>
  <si>
    <t>2029-10-07</t>
  </si>
  <si>
    <t>2029-10-08</t>
  </si>
  <si>
    <t>2029-10-09</t>
  </si>
  <si>
    <t>2029-10-10</t>
  </si>
  <si>
    <t>2029-10-11</t>
  </si>
  <si>
    <t>2029-10-12</t>
  </si>
  <si>
    <t>2029-10-13</t>
  </si>
  <si>
    <t>2029-10-14</t>
  </si>
  <si>
    <t>2029-10-15</t>
  </si>
  <si>
    <t>2029-10-16</t>
  </si>
  <si>
    <t>2029-10-17</t>
  </si>
  <si>
    <t>2029-10-18</t>
  </si>
  <si>
    <t>2029-10-19</t>
  </si>
  <si>
    <t>2029-10-20</t>
  </si>
  <si>
    <t>2029-10-21</t>
  </si>
  <si>
    <t>2029-10-22</t>
  </si>
  <si>
    <t>2029-10-23</t>
  </si>
  <si>
    <t>2029-10-24</t>
  </si>
  <si>
    <t>2029-10-25</t>
  </si>
  <si>
    <t>2029-10-26</t>
  </si>
  <si>
    <t>2029-10-27</t>
  </si>
  <si>
    <t>2029-10-28</t>
  </si>
  <si>
    <t>2029-10-29</t>
  </si>
  <si>
    <t>2029-10-30</t>
  </si>
  <si>
    <t>2029-10-31</t>
  </si>
  <si>
    <t>2029-11-01</t>
  </si>
  <si>
    <t>2029-11-02</t>
  </si>
  <si>
    <t>2029-11-03</t>
  </si>
  <si>
    <t>2029-11-04</t>
  </si>
  <si>
    <t>2029-11-05</t>
  </si>
  <si>
    <t>2029-11-06</t>
  </si>
  <si>
    <t>2029-11-07</t>
  </si>
  <si>
    <t>2029-11-08</t>
  </si>
  <si>
    <t>2029-11-09</t>
  </si>
  <si>
    <t>2029-11-10</t>
  </si>
  <si>
    <t>2029-11-11</t>
  </si>
  <si>
    <t>2029-11-12</t>
  </si>
  <si>
    <t>2029-11-13</t>
  </si>
  <si>
    <t>2029-11-14</t>
  </si>
  <si>
    <t>2029-11-15</t>
  </si>
  <si>
    <t>2029-11-16</t>
  </si>
  <si>
    <t>2029-11-17</t>
  </si>
  <si>
    <t>2029-11-18</t>
  </si>
  <si>
    <t>2029-11-19</t>
  </si>
  <si>
    <t>2029-11-20</t>
  </si>
  <si>
    <t>2029-11-21</t>
  </si>
  <si>
    <t>2029-11-22</t>
  </si>
  <si>
    <t>2029-11-23</t>
  </si>
  <si>
    <t>2029-11-24</t>
  </si>
  <si>
    <t>2029-11-25</t>
  </si>
  <si>
    <t>2029-11-26</t>
  </si>
  <si>
    <t>2029-11-27</t>
  </si>
  <si>
    <t>2029-11-28</t>
  </si>
  <si>
    <t>2029-11-29</t>
  </si>
  <si>
    <t>2029-11-30</t>
  </si>
  <si>
    <t>2029-12-01</t>
  </si>
  <si>
    <t>2029-12-02</t>
  </si>
  <si>
    <t>2029-12-03</t>
  </si>
  <si>
    <t>2029-12-04</t>
  </si>
  <si>
    <t>2029-12-05</t>
  </si>
  <si>
    <t>2029-12-06</t>
  </si>
  <si>
    <t>2029-12-07</t>
  </si>
  <si>
    <t>2029-12-08</t>
  </si>
  <si>
    <t>2029-12-09</t>
  </si>
  <si>
    <t>2029-12-10</t>
  </si>
  <si>
    <t>2029-12-11</t>
  </si>
  <si>
    <t>2029-12-12</t>
  </si>
  <si>
    <t>2029-12-13</t>
  </si>
  <si>
    <t>2029-12-14</t>
  </si>
  <si>
    <t>2029-12-15</t>
  </si>
  <si>
    <t>2029-12-16</t>
  </si>
  <si>
    <t>2029-12-17</t>
  </si>
  <si>
    <t>2029-12-18</t>
  </si>
  <si>
    <t>2029-12-19</t>
  </si>
  <si>
    <t>2029-12-20</t>
  </si>
  <si>
    <t>2029-12-21</t>
  </si>
  <si>
    <t>2029-12-22</t>
  </si>
  <si>
    <t>2029-12-23</t>
  </si>
  <si>
    <t>2029-12-24</t>
  </si>
  <si>
    <t>2029-12-25</t>
  </si>
  <si>
    <t>2029-12-26</t>
  </si>
  <si>
    <t>2029-12-27</t>
  </si>
  <si>
    <t>2029-12-28</t>
  </si>
  <si>
    <t>2029-12-29</t>
  </si>
  <si>
    <t>2029-12-30</t>
  </si>
  <si>
    <t>2029-12-31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</si>
</sst>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S/.&quot;\ #.##0"/>
  </numFmts>
  <fonts count="8" x14ac:knownFonts="1">
    <font>
      <sz val="11"/>
      <color theme="1"/>
      <name val="Calibri"/>
      <family val="2"/>
      <scheme val="minor"/>
    </font>
    <font>
      <b/>
      <sz val="11"/>
      <color theme="1"/>
      <name val="Calibri"/>
      <family val="2"/>
      <scheme val="minor"/>
    </font>
    <font>
      <b/>
      <sz val="22"/>
      <color rgb="FFFFFFFF"/>
      <name val="Calibri"/>
      <family val="2"/>
      <scheme val="minor"/>
    </font>
    <font>
      <b/>
      <sz val="11"/>
      <color rgb="FFFFFFFF"/>
      <name val="Calibri"/>
      <family val="2"/>
      <scheme val="minor"/>
    </font>
    <font>
      <sz val="11"/>
      <color rgb="FFC0C0C0"/>
      <name val="Calibri"/>
      <family val="2"/>
      <scheme val="minor"/>
    </font>
    <font>
      <b/>
      <sz val="14"/>
      <color rgb="FFFFFFFF"/>
      <name val="Calibri"/>
      <family val="2"/>
      <scheme val="minor"/>
    </font>
    <font>
      <b/>
      <sz val="14"/>
      <color rgb="FFFFCC00"/>
      <name val="Calibri"/>
      <family val="2"/>
      <scheme val="minor"/>
    </font>
    <font>
      <b/>
      <sz val="8"/>
      <color rgb="FFFFFFFF"/>
      <name val="Calibri"/>
      <family val="2"/>
      <scheme val="minor"/>
    </font>
  </fonts>
  <fills count="8">
    <fill>
      <patternFill patternType="none"/>
    </fill>
    <fill>
      <patternFill patternType="gray125"/>
    </fill>
    <fill>
      <patternFill patternType="solid">
        <fgColor rgb="FF323232"/>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rgb="FF00B050"/>
        <bgColor indexed="64"/>
      </patternFill>
    </fill>
    <fill>
      <patternFill patternType="solid">
        <fgColor rgb="FFE2EF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2" fillId="2" borderId="0" xfId="0" applyFont="1" applyFill="1"/>
    <xf numFmtId="0" fontId="3" fillId="2" borderId="0" xfId="0" applyFont="1" applyFill="1"/>
    <xf numFmtId="164" fontId="1" fillId="3" borderId="0" xfId="0" applyNumberFormat="1" applyFont="1" applyFill="1"/>
    <xf numFmtId="0" fontId="4" fillId="2" borderId="0" xfId="0" applyFont="1" applyFill="1"/>
    <xf numFmtId="165" fontId="5" fillId="2" borderId="0" xfId="0" applyNumberFormat="1" applyFont="1" applyFill="1"/>
    <xf numFmtId="165" fontId="6" fillId="2" borderId="0" xfId="0" applyNumberFormat="1" applyFont="1" applyFill="1"/>
    <xf numFmtId="0" fontId="3" fillId="4" borderId="1" xfId="0" applyFont="1" applyFill="1" applyBorder="1" applyAlignment="1">
      <alignment horizontal="center"/>
    </xf>
    <xf numFmtId="0" fontId="7" fillId="5" borderId="0" xfId="0" applyFont="1" applyFill="1"/>
    <xf numFmtId="0" fontId="7" fillId="6" borderId="0" xfId="0" applyFont="1" applyFill="1"/>
    <xf numFmtId="0" fontId="0" fillId="0" borderId="0" xfId="0" quotePrefix="1"/>
    <xf numFmtId="0" fontId="0" fillId="0" borderId="1" xfId="0" applyBorder="1"/>
    <xf numFmtId="164" fontId="0" fillId="0" borderId="1" xfId="0" applyNumberFormat="1" applyBorder="1"/>
    <xf numFmtId="165" fontId="0" fillId="0" borderId="1" xfId="0" applyNumberFormat="1" applyBorder="1"/>
    <xf numFmtId="165" fontId="0" fillId="7" borderId="1" xfId="0" applyNumberFormat="1" applyFill="1" applyBorder="1"/>
  </cellXfs>
  <cellStyles count="1">
    <cellStyle name="Normal" xfId="0" builtinId="0"/>
  </cellStyles>
  <dxfs count="4">
    <dxf>
      <font>
        <b/>
        <i val="0"/>
        <color rgb="FF0070C0"/>
      </font>
    </dxf>
    <dxf>
      <font>
        <b/>
        <i val="0"/>
        <color rgb="FF00B050"/>
      </font>
    </dxf>
    <dxf>
      <font>
        <b/>
        <i val="0"/>
        <color rgb="FF0080FF"/>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B319-C799-4ECC-9DB8-EBCCA7085935}">
  <dimension ref="A1:B1461"/>
  <sheetViews>
    <sheetView workbookViewId="0"/>
  </sheetViews>
  <sheetFormatPr baseColWidth="10" defaultRowHeight="15" x14ac:dyDescent="0.25"/>
  <sheetData>
    <row r="1" spans="1:2" x14ac:dyDescent="0.25">
      <c r="A1" s="11" t="s">
        <v>78</v>
      </c>
      <c r="B1">
        <v>1</v>
      </c>
    </row>
    <row r="2" spans="1:2" x14ac:dyDescent="0.25">
      <c r="A2" s="11" t="s">
        <v>79</v>
      </c>
      <c r="B2">
        <v>2</v>
      </c>
    </row>
    <row r="3" spans="1:2" x14ac:dyDescent="0.25">
      <c r="A3" s="11" t="s">
        <v>80</v>
      </c>
      <c r="B3">
        <v>3</v>
      </c>
    </row>
    <row r="4" spans="1:2" x14ac:dyDescent="0.25">
      <c r="A4" s="11" t="s">
        <v>81</v>
      </c>
      <c r="B4">
        <v>4</v>
      </c>
    </row>
    <row r="5" spans="1:2" x14ac:dyDescent="0.25">
      <c r="A5" s="11" t="s">
        <v>82</v>
      </c>
      <c r="B5">
        <v>5</v>
      </c>
    </row>
    <row r="6" spans="1:2" x14ac:dyDescent="0.25">
      <c r="A6" s="11" t="s">
        <v>83</v>
      </c>
      <c r="B6">
        <v>6</v>
      </c>
    </row>
    <row r="7" spans="1:2" x14ac:dyDescent="0.25">
      <c r="A7" s="11" t="s">
        <v>84</v>
      </c>
      <c r="B7">
        <v>7</v>
      </c>
    </row>
    <row r="8" spans="1:2" x14ac:dyDescent="0.25">
      <c r="A8" s="11" t="s">
        <v>85</v>
      </c>
      <c r="B8">
        <v>8</v>
      </c>
    </row>
    <row r="9" spans="1:2" x14ac:dyDescent="0.25">
      <c r="A9" s="11" t="s">
        <v>86</v>
      </c>
      <c r="B9">
        <v>9</v>
      </c>
    </row>
    <row r="10" spans="1:2" x14ac:dyDescent="0.25">
      <c r="A10" s="11" t="s">
        <v>87</v>
      </c>
      <c r="B10">
        <v>10</v>
      </c>
    </row>
    <row r="11" spans="1:2" x14ac:dyDescent="0.25">
      <c r="A11" s="11" t="s">
        <v>88</v>
      </c>
      <c r="B11">
        <v>11</v>
      </c>
    </row>
    <row r="12" spans="1:2" x14ac:dyDescent="0.25">
      <c r="A12" s="11" t="s">
        <v>89</v>
      </c>
      <c r="B12">
        <v>12</v>
      </c>
    </row>
    <row r="13" spans="1:2" x14ac:dyDescent="0.25">
      <c r="A13" s="11" t="s">
        <v>90</v>
      </c>
      <c r="B13">
        <v>13</v>
      </c>
    </row>
    <row r="14" spans="1:2" x14ac:dyDescent="0.25">
      <c r="A14" s="11" t="s">
        <v>91</v>
      </c>
      <c r="B14">
        <v>14</v>
      </c>
    </row>
    <row r="15" spans="1:2" x14ac:dyDescent="0.25">
      <c r="A15" s="11" t="s">
        <v>92</v>
      </c>
      <c r="B15">
        <v>15</v>
      </c>
    </row>
    <row r="16" spans="1:2" x14ac:dyDescent="0.25">
      <c r="A16" s="11" t="s">
        <v>93</v>
      </c>
      <c r="B16">
        <v>16</v>
      </c>
    </row>
    <row r="17" spans="1:2" x14ac:dyDescent="0.25">
      <c r="A17" s="11" t="s">
        <v>94</v>
      </c>
      <c r="B17">
        <v>17</v>
      </c>
    </row>
    <row r="18" spans="1:2" x14ac:dyDescent="0.25">
      <c r="A18" s="11" t="s">
        <v>95</v>
      </c>
      <c r="B18">
        <v>18</v>
      </c>
    </row>
    <row r="19" spans="1:2" x14ac:dyDescent="0.25">
      <c r="A19" s="11" t="s">
        <v>96</v>
      </c>
      <c r="B19">
        <v>19</v>
      </c>
    </row>
    <row r="20" spans="1:2" x14ac:dyDescent="0.25">
      <c r="A20" s="11" t="s">
        <v>97</v>
      </c>
      <c r="B20">
        <v>20</v>
      </c>
    </row>
    <row r="21" spans="1:2" x14ac:dyDescent="0.25">
      <c r="A21" s="11" t="s">
        <v>98</v>
      </c>
      <c r="B21">
        <v>21</v>
      </c>
    </row>
    <row r="22" spans="1:2" x14ac:dyDescent="0.25">
      <c r="A22" s="11" t="s">
        <v>99</v>
      </c>
      <c r="B22">
        <v>22</v>
      </c>
    </row>
    <row r="23" spans="1:2" x14ac:dyDescent="0.25">
      <c r="A23" s="11" t="s">
        <v>100</v>
      </c>
      <c r="B23">
        <v>23</v>
      </c>
    </row>
    <row r="24" spans="1:2" x14ac:dyDescent="0.25">
      <c r="A24" s="11" t="s">
        <v>101</v>
      </c>
      <c r="B24">
        <v>24</v>
      </c>
    </row>
    <row r="25" spans="1:2" x14ac:dyDescent="0.25">
      <c r="A25" s="11" t="s">
        <v>102</v>
      </c>
      <c r="B25">
        <v>25</v>
      </c>
    </row>
    <row r="26" spans="1:2" x14ac:dyDescent="0.25">
      <c r="A26" s="11" t="s">
        <v>103</v>
      </c>
      <c r="B26">
        <v>26</v>
      </c>
    </row>
    <row r="27" spans="1:2" x14ac:dyDescent="0.25">
      <c r="A27" s="11" t="s">
        <v>104</v>
      </c>
      <c r="B27">
        <v>27</v>
      </c>
    </row>
    <row r="28" spans="1:2" x14ac:dyDescent="0.25">
      <c r="A28" s="11" t="s">
        <v>105</v>
      </c>
      <c r="B28">
        <v>28</v>
      </c>
    </row>
    <row r="29" spans="1:2" x14ac:dyDescent="0.25">
      <c r="A29" s="11" t="s">
        <v>106</v>
      </c>
      <c r="B29">
        <v>29</v>
      </c>
    </row>
    <row r="30" spans="1:2" x14ac:dyDescent="0.25">
      <c r="A30" s="11" t="s">
        <v>107</v>
      </c>
      <c r="B30">
        <v>30</v>
      </c>
    </row>
    <row r="31" spans="1:2" x14ac:dyDescent="0.25">
      <c r="A31" s="11" t="s">
        <v>108</v>
      </c>
    </row>
    <row r="32" spans="1:2" x14ac:dyDescent="0.25">
      <c r="A32" s="11" t="s">
        <v>109</v>
      </c>
    </row>
    <row r="33" spans="1:1" x14ac:dyDescent="0.25">
      <c r="A33" s="11" t="s">
        <v>110</v>
      </c>
    </row>
    <row r="34" spans="1:1" x14ac:dyDescent="0.25">
      <c r="A34" s="11" t="s">
        <v>111</v>
      </c>
    </row>
    <row r="35" spans="1:1" x14ac:dyDescent="0.25">
      <c r="A35" s="11" t="s">
        <v>112</v>
      </c>
    </row>
    <row r="36" spans="1:1" x14ac:dyDescent="0.25">
      <c r="A36" s="11" t="s">
        <v>113</v>
      </c>
    </row>
    <row r="37" spans="1:1" x14ac:dyDescent="0.25">
      <c r="A37" s="11" t="s">
        <v>114</v>
      </c>
    </row>
    <row r="38" spans="1:1" x14ac:dyDescent="0.25">
      <c r="A38" s="11" t="s">
        <v>115</v>
      </c>
    </row>
    <row r="39" spans="1:1" x14ac:dyDescent="0.25">
      <c r="A39" s="11" t="s">
        <v>116</v>
      </c>
    </row>
    <row r="40" spans="1:1" x14ac:dyDescent="0.25">
      <c r="A40" s="11" t="s">
        <v>117</v>
      </c>
    </row>
    <row r="41" spans="1:1" x14ac:dyDescent="0.25">
      <c r="A41" s="11" t="s">
        <v>118</v>
      </c>
    </row>
    <row r="42" spans="1:1" x14ac:dyDescent="0.25">
      <c r="A42" s="11" t="s">
        <v>119</v>
      </c>
    </row>
    <row r="43" spans="1:1" x14ac:dyDescent="0.25">
      <c r="A43" s="11" t="s">
        <v>120</v>
      </c>
    </row>
    <row r="44" spans="1:1" x14ac:dyDescent="0.25">
      <c r="A44" s="11" t="s">
        <v>121</v>
      </c>
    </row>
    <row r="45" spans="1:1" x14ac:dyDescent="0.25">
      <c r="A45" s="11" t="s">
        <v>122</v>
      </c>
    </row>
    <row r="46" spans="1:1" x14ac:dyDescent="0.25">
      <c r="A46" s="11" t="s">
        <v>123</v>
      </c>
    </row>
    <row r="47" spans="1:1" x14ac:dyDescent="0.25">
      <c r="A47" s="11" t="s">
        <v>124</v>
      </c>
    </row>
    <row r="48" spans="1:1" x14ac:dyDescent="0.25">
      <c r="A48" s="11" t="s">
        <v>125</v>
      </c>
    </row>
    <row r="49" spans="1:1" x14ac:dyDescent="0.25">
      <c r="A49" s="11" t="s">
        <v>126</v>
      </c>
    </row>
    <row r="50" spans="1:1" x14ac:dyDescent="0.25">
      <c r="A50" s="11" t="s">
        <v>127</v>
      </c>
    </row>
    <row r="51" spans="1:1" x14ac:dyDescent="0.25">
      <c r="A51" s="11" t="s">
        <v>128</v>
      </c>
    </row>
    <row r="52" spans="1:1" x14ac:dyDescent="0.25">
      <c r="A52" s="11" t="s">
        <v>129</v>
      </c>
    </row>
    <row r="53" spans="1:1" x14ac:dyDescent="0.25">
      <c r="A53" s="11" t="s">
        <v>130</v>
      </c>
    </row>
    <row r="54" spans="1:1" x14ac:dyDescent="0.25">
      <c r="A54" s="11" t="s">
        <v>131</v>
      </c>
    </row>
    <row r="55" spans="1:1" x14ac:dyDescent="0.25">
      <c r="A55" s="11" t="s">
        <v>132</v>
      </c>
    </row>
    <row r="56" spans="1:1" x14ac:dyDescent="0.25">
      <c r="A56" s="11" t="s">
        <v>133</v>
      </c>
    </row>
    <row r="57" spans="1:1" x14ac:dyDescent="0.25">
      <c r="A57" s="11" t="s">
        <v>134</v>
      </c>
    </row>
    <row r="58" spans="1:1" x14ac:dyDescent="0.25">
      <c r="A58" s="11" t="s">
        <v>135</v>
      </c>
    </row>
    <row r="59" spans="1:1" x14ac:dyDescent="0.25">
      <c r="A59" s="11" t="s">
        <v>136</v>
      </c>
    </row>
    <row r="60" spans="1:1" x14ac:dyDescent="0.25">
      <c r="A60" s="11" t="s">
        <v>137</v>
      </c>
    </row>
    <row r="61" spans="1:1" x14ac:dyDescent="0.25">
      <c r="A61" s="11" t="s">
        <v>138</v>
      </c>
    </row>
    <row r="62" spans="1:1" x14ac:dyDescent="0.25">
      <c r="A62" s="11" t="s">
        <v>139</v>
      </c>
    </row>
    <row r="63" spans="1:1" x14ac:dyDescent="0.25">
      <c r="A63" s="11" t="s">
        <v>140</v>
      </c>
    </row>
    <row r="64" spans="1:1" x14ac:dyDescent="0.25">
      <c r="A64" s="11" t="s">
        <v>141</v>
      </c>
    </row>
    <row r="65" spans="1:1" x14ac:dyDescent="0.25">
      <c r="A65" s="11" t="s">
        <v>142</v>
      </c>
    </row>
    <row r="66" spans="1:1" x14ac:dyDescent="0.25">
      <c r="A66" s="11" t="s">
        <v>143</v>
      </c>
    </row>
    <row r="67" spans="1:1" x14ac:dyDescent="0.25">
      <c r="A67" s="11" t="s">
        <v>144</v>
      </c>
    </row>
    <row r="68" spans="1:1" x14ac:dyDescent="0.25">
      <c r="A68" s="11" t="s">
        <v>145</v>
      </c>
    </row>
    <row r="69" spans="1:1" x14ac:dyDescent="0.25">
      <c r="A69" s="11" t="s">
        <v>146</v>
      </c>
    </row>
    <row r="70" spans="1:1" x14ac:dyDescent="0.25">
      <c r="A70" s="11" t="s">
        <v>147</v>
      </c>
    </row>
    <row r="71" spans="1:1" x14ac:dyDescent="0.25">
      <c r="A71" s="11" t="s">
        <v>148</v>
      </c>
    </row>
    <row r="72" spans="1:1" x14ac:dyDescent="0.25">
      <c r="A72" s="11" t="s">
        <v>149</v>
      </c>
    </row>
    <row r="73" spans="1:1" x14ac:dyDescent="0.25">
      <c r="A73" s="11" t="s">
        <v>150</v>
      </c>
    </row>
    <row r="74" spans="1:1" x14ac:dyDescent="0.25">
      <c r="A74" s="11" t="s">
        <v>151</v>
      </c>
    </row>
    <row r="75" spans="1:1" x14ac:dyDescent="0.25">
      <c r="A75" s="11" t="s">
        <v>152</v>
      </c>
    </row>
    <row r="76" spans="1:1" x14ac:dyDescent="0.25">
      <c r="A76" s="11" t="s">
        <v>153</v>
      </c>
    </row>
    <row r="77" spans="1:1" x14ac:dyDescent="0.25">
      <c r="A77" s="11" t="s">
        <v>154</v>
      </c>
    </row>
    <row r="78" spans="1:1" x14ac:dyDescent="0.25">
      <c r="A78" s="11" t="s">
        <v>155</v>
      </c>
    </row>
    <row r="79" spans="1:1" x14ac:dyDescent="0.25">
      <c r="A79" s="11" t="s">
        <v>156</v>
      </c>
    </row>
    <row r="80" spans="1:1" x14ac:dyDescent="0.25">
      <c r="A80" s="11" t="s">
        <v>157</v>
      </c>
    </row>
    <row r="81" spans="1:1" x14ac:dyDescent="0.25">
      <c r="A81" s="11" t="s">
        <v>158</v>
      </c>
    </row>
    <row r="82" spans="1:1" x14ac:dyDescent="0.25">
      <c r="A82" s="11" t="s">
        <v>159</v>
      </c>
    </row>
    <row r="83" spans="1:1" x14ac:dyDescent="0.25">
      <c r="A83" s="11" t="s">
        <v>160</v>
      </c>
    </row>
    <row r="84" spans="1:1" x14ac:dyDescent="0.25">
      <c r="A84" s="11" t="s">
        <v>161</v>
      </c>
    </row>
    <row r="85" spans="1:1" x14ac:dyDescent="0.25">
      <c r="A85" s="11" t="s">
        <v>162</v>
      </c>
    </row>
    <row r="86" spans="1:1" x14ac:dyDescent="0.25">
      <c r="A86" s="11" t="s">
        <v>163</v>
      </c>
    </row>
    <row r="87" spans="1:1" x14ac:dyDescent="0.25">
      <c r="A87" s="11" t="s">
        <v>164</v>
      </c>
    </row>
    <row r="88" spans="1:1" x14ac:dyDescent="0.25">
      <c r="A88" s="11" t="s">
        <v>165</v>
      </c>
    </row>
    <row r="89" spans="1:1" x14ac:dyDescent="0.25">
      <c r="A89" s="11" t="s">
        <v>166</v>
      </c>
    </row>
    <row r="90" spans="1:1" x14ac:dyDescent="0.25">
      <c r="A90" s="11" t="s">
        <v>167</v>
      </c>
    </row>
    <row r="91" spans="1:1" x14ac:dyDescent="0.25">
      <c r="A91" s="11" t="s">
        <v>168</v>
      </c>
    </row>
    <row r="92" spans="1:1" x14ac:dyDescent="0.25">
      <c r="A92" s="11" t="s">
        <v>169</v>
      </c>
    </row>
    <row r="93" spans="1:1" x14ac:dyDescent="0.25">
      <c r="A93" s="11" t="s">
        <v>170</v>
      </c>
    </row>
    <row r="94" spans="1:1" x14ac:dyDescent="0.25">
      <c r="A94" s="11" t="s">
        <v>171</v>
      </c>
    </row>
    <row r="95" spans="1:1" x14ac:dyDescent="0.25">
      <c r="A95" s="11" t="s">
        <v>172</v>
      </c>
    </row>
    <row r="96" spans="1:1" x14ac:dyDescent="0.25">
      <c r="A96" s="11" t="s">
        <v>173</v>
      </c>
    </row>
    <row r="97" spans="1:1" x14ac:dyDescent="0.25">
      <c r="A97" s="11" t="s">
        <v>174</v>
      </c>
    </row>
    <row r="98" spans="1:1" x14ac:dyDescent="0.25">
      <c r="A98" s="11" t="s">
        <v>175</v>
      </c>
    </row>
    <row r="99" spans="1:1" x14ac:dyDescent="0.25">
      <c r="A99" s="11" t="s">
        <v>176</v>
      </c>
    </row>
    <row r="100" spans="1:1" x14ac:dyDescent="0.25">
      <c r="A100" s="11" t="s">
        <v>177</v>
      </c>
    </row>
    <row r="101" spans="1:1" x14ac:dyDescent="0.25">
      <c r="A101" s="11" t="s">
        <v>178</v>
      </c>
    </row>
    <row r="102" spans="1:1" x14ac:dyDescent="0.25">
      <c r="A102" s="11" t="s">
        <v>179</v>
      </c>
    </row>
    <row r="103" spans="1:1" x14ac:dyDescent="0.25">
      <c r="A103" s="11" t="s">
        <v>180</v>
      </c>
    </row>
    <row r="104" spans="1:1" x14ac:dyDescent="0.25">
      <c r="A104" s="11" t="s">
        <v>181</v>
      </c>
    </row>
    <row r="105" spans="1:1" x14ac:dyDescent="0.25">
      <c r="A105" s="11" t="s">
        <v>182</v>
      </c>
    </row>
    <row r="106" spans="1:1" x14ac:dyDescent="0.25">
      <c r="A106" s="11" t="s">
        <v>183</v>
      </c>
    </row>
    <row r="107" spans="1:1" x14ac:dyDescent="0.25">
      <c r="A107" s="11" t="s">
        <v>184</v>
      </c>
    </row>
    <row r="108" spans="1:1" x14ac:dyDescent="0.25">
      <c r="A108" s="11" t="s">
        <v>185</v>
      </c>
    </row>
    <row r="109" spans="1:1" x14ac:dyDescent="0.25">
      <c r="A109" s="11" t="s">
        <v>186</v>
      </c>
    </row>
    <row r="110" spans="1:1" x14ac:dyDescent="0.25">
      <c r="A110" s="11" t="s">
        <v>187</v>
      </c>
    </row>
    <row r="111" spans="1:1" x14ac:dyDescent="0.25">
      <c r="A111" s="11" t="s">
        <v>188</v>
      </c>
    </row>
    <row r="112" spans="1:1" x14ac:dyDescent="0.25">
      <c r="A112" s="11" t="s">
        <v>189</v>
      </c>
    </row>
    <row r="113" spans="1:1" x14ac:dyDescent="0.25">
      <c r="A113" s="11" t="s">
        <v>190</v>
      </c>
    </row>
    <row r="114" spans="1:1" x14ac:dyDescent="0.25">
      <c r="A114" s="11" t="s">
        <v>191</v>
      </c>
    </row>
    <row r="115" spans="1:1" x14ac:dyDescent="0.25">
      <c r="A115" s="11" t="s">
        <v>192</v>
      </c>
    </row>
    <row r="116" spans="1:1" x14ac:dyDescent="0.25">
      <c r="A116" s="11" t="s">
        <v>193</v>
      </c>
    </row>
    <row r="117" spans="1:1" x14ac:dyDescent="0.25">
      <c r="A117" s="11" t="s">
        <v>194</v>
      </c>
    </row>
    <row r="118" spans="1:1" x14ac:dyDescent="0.25">
      <c r="A118" s="11" t="s">
        <v>195</v>
      </c>
    </row>
    <row r="119" spans="1:1" x14ac:dyDescent="0.25">
      <c r="A119" s="11" t="s">
        <v>196</v>
      </c>
    </row>
    <row r="120" spans="1:1" x14ac:dyDescent="0.25">
      <c r="A120" s="11" t="s">
        <v>197</v>
      </c>
    </row>
    <row r="121" spans="1:1" x14ac:dyDescent="0.25">
      <c r="A121" s="11" t="s">
        <v>198</v>
      </c>
    </row>
    <row r="122" spans="1:1" x14ac:dyDescent="0.25">
      <c r="A122" s="11" t="s">
        <v>199</v>
      </c>
    </row>
    <row r="123" spans="1:1" x14ac:dyDescent="0.25">
      <c r="A123" s="11" t="s">
        <v>200</v>
      </c>
    </row>
    <row r="124" spans="1:1" x14ac:dyDescent="0.25">
      <c r="A124" s="11" t="s">
        <v>201</v>
      </c>
    </row>
    <row r="125" spans="1:1" x14ac:dyDescent="0.25">
      <c r="A125" s="11" t="s">
        <v>202</v>
      </c>
    </row>
    <row r="126" spans="1:1" x14ac:dyDescent="0.25">
      <c r="A126" s="11" t="s">
        <v>203</v>
      </c>
    </row>
    <row r="127" spans="1:1" x14ac:dyDescent="0.25">
      <c r="A127" s="11" t="s">
        <v>204</v>
      </c>
    </row>
    <row r="128" spans="1:1" x14ac:dyDescent="0.25">
      <c r="A128" s="11" t="s">
        <v>205</v>
      </c>
    </row>
    <row r="129" spans="1:1" x14ac:dyDescent="0.25">
      <c r="A129" s="11" t="s">
        <v>206</v>
      </c>
    </row>
    <row r="130" spans="1:1" x14ac:dyDescent="0.25">
      <c r="A130" s="11" t="s">
        <v>207</v>
      </c>
    </row>
    <row r="131" spans="1:1" x14ac:dyDescent="0.25">
      <c r="A131" s="11" t="s">
        <v>208</v>
      </c>
    </row>
    <row r="132" spans="1:1" x14ac:dyDescent="0.25">
      <c r="A132" s="11" t="s">
        <v>209</v>
      </c>
    </row>
    <row r="133" spans="1:1" x14ac:dyDescent="0.25">
      <c r="A133" s="11" t="s">
        <v>210</v>
      </c>
    </row>
    <row r="134" spans="1:1" x14ac:dyDescent="0.25">
      <c r="A134" s="11" t="s">
        <v>211</v>
      </c>
    </row>
    <row r="135" spans="1:1" x14ac:dyDescent="0.25">
      <c r="A135" s="11" t="s">
        <v>212</v>
      </c>
    </row>
    <row r="136" spans="1:1" x14ac:dyDescent="0.25">
      <c r="A136" s="11" t="s">
        <v>213</v>
      </c>
    </row>
    <row r="137" spans="1:1" x14ac:dyDescent="0.25">
      <c r="A137" s="11" t="s">
        <v>214</v>
      </c>
    </row>
    <row r="138" spans="1:1" x14ac:dyDescent="0.25">
      <c r="A138" s="11" t="s">
        <v>215</v>
      </c>
    </row>
    <row r="139" spans="1:1" x14ac:dyDescent="0.25">
      <c r="A139" s="11" t="s">
        <v>216</v>
      </c>
    </row>
    <row r="140" spans="1:1" x14ac:dyDescent="0.25">
      <c r="A140" s="11" t="s">
        <v>217</v>
      </c>
    </row>
    <row r="141" spans="1:1" x14ac:dyDescent="0.25">
      <c r="A141" s="11" t="s">
        <v>218</v>
      </c>
    </row>
    <row r="142" spans="1:1" x14ac:dyDescent="0.25">
      <c r="A142" s="11" t="s">
        <v>219</v>
      </c>
    </row>
    <row r="143" spans="1:1" x14ac:dyDescent="0.25">
      <c r="A143" s="11" t="s">
        <v>220</v>
      </c>
    </row>
    <row r="144" spans="1:1" x14ac:dyDescent="0.25">
      <c r="A144" s="11" t="s">
        <v>221</v>
      </c>
    </row>
    <row r="145" spans="1:1" x14ac:dyDescent="0.25">
      <c r="A145" s="11" t="s">
        <v>222</v>
      </c>
    </row>
    <row r="146" spans="1:1" x14ac:dyDescent="0.25">
      <c r="A146" s="11" t="s">
        <v>223</v>
      </c>
    </row>
    <row r="147" spans="1:1" x14ac:dyDescent="0.25">
      <c r="A147" s="11" t="s">
        <v>224</v>
      </c>
    </row>
    <row r="148" spans="1:1" x14ac:dyDescent="0.25">
      <c r="A148" s="11" t="s">
        <v>225</v>
      </c>
    </row>
    <row r="149" spans="1:1" x14ac:dyDescent="0.25">
      <c r="A149" s="11" t="s">
        <v>226</v>
      </c>
    </row>
    <row r="150" spans="1:1" x14ac:dyDescent="0.25">
      <c r="A150" s="11" t="s">
        <v>227</v>
      </c>
    </row>
    <row r="151" spans="1:1" x14ac:dyDescent="0.25">
      <c r="A151" s="11" t="s">
        <v>228</v>
      </c>
    </row>
    <row r="152" spans="1:1" x14ac:dyDescent="0.25">
      <c r="A152" s="11" t="s">
        <v>229</v>
      </c>
    </row>
    <row r="153" spans="1:1" x14ac:dyDescent="0.25">
      <c r="A153" s="11" t="s">
        <v>230</v>
      </c>
    </row>
    <row r="154" spans="1:1" x14ac:dyDescent="0.25">
      <c r="A154" s="11" t="s">
        <v>231</v>
      </c>
    </row>
    <row r="155" spans="1:1" x14ac:dyDescent="0.25">
      <c r="A155" s="11" t="s">
        <v>232</v>
      </c>
    </row>
    <row r="156" spans="1:1" x14ac:dyDescent="0.25">
      <c r="A156" s="11" t="s">
        <v>233</v>
      </c>
    </row>
    <row r="157" spans="1:1" x14ac:dyDescent="0.25">
      <c r="A157" s="11" t="s">
        <v>234</v>
      </c>
    </row>
    <row r="158" spans="1:1" x14ac:dyDescent="0.25">
      <c r="A158" s="11" t="s">
        <v>235</v>
      </c>
    </row>
    <row r="159" spans="1:1" x14ac:dyDescent="0.25">
      <c r="A159" s="11" t="s">
        <v>236</v>
      </c>
    </row>
    <row r="160" spans="1:1" x14ac:dyDescent="0.25">
      <c r="A160" s="11" t="s">
        <v>237</v>
      </c>
    </row>
    <row r="161" spans="1:1" x14ac:dyDescent="0.25">
      <c r="A161" s="11" t="s">
        <v>238</v>
      </c>
    </row>
    <row r="162" spans="1:1" x14ac:dyDescent="0.25">
      <c r="A162" s="11" t="s">
        <v>239</v>
      </c>
    </row>
    <row r="163" spans="1:1" x14ac:dyDescent="0.25">
      <c r="A163" s="11" t="s">
        <v>240</v>
      </c>
    </row>
    <row r="164" spans="1:1" x14ac:dyDescent="0.25">
      <c r="A164" s="11" t="s">
        <v>241</v>
      </c>
    </row>
    <row r="165" spans="1:1" x14ac:dyDescent="0.25">
      <c r="A165" s="11" t="s">
        <v>242</v>
      </c>
    </row>
    <row r="166" spans="1:1" x14ac:dyDescent="0.25">
      <c r="A166" s="11" t="s">
        <v>243</v>
      </c>
    </row>
    <row r="167" spans="1:1" x14ac:dyDescent="0.25">
      <c r="A167" s="11" t="s">
        <v>244</v>
      </c>
    </row>
    <row r="168" spans="1:1" x14ac:dyDescent="0.25">
      <c r="A168" s="11" t="s">
        <v>245</v>
      </c>
    </row>
    <row r="169" spans="1:1" x14ac:dyDescent="0.25">
      <c r="A169" s="11" t="s">
        <v>246</v>
      </c>
    </row>
    <row r="170" spans="1:1" x14ac:dyDescent="0.25">
      <c r="A170" s="11" t="s">
        <v>247</v>
      </c>
    </row>
    <row r="171" spans="1:1" x14ac:dyDescent="0.25">
      <c r="A171" s="11" t="s">
        <v>248</v>
      </c>
    </row>
    <row r="172" spans="1:1" x14ac:dyDescent="0.25">
      <c r="A172" s="11" t="s">
        <v>249</v>
      </c>
    </row>
    <row r="173" spans="1:1" x14ac:dyDescent="0.25">
      <c r="A173" s="11" t="s">
        <v>250</v>
      </c>
    </row>
    <row r="174" spans="1:1" x14ac:dyDescent="0.25">
      <c r="A174" s="11" t="s">
        <v>251</v>
      </c>
    </row>
    <row r="175" spans="1:1" x14ac:dyDescent="0.25">
      <c r="A175" s="11" t="s">
        <v>252</v>
      </c>
    </row>
    <row r="176" spans="1:1" x14ac:dyDescent="0.25">
      <c r="A176" s="11" t="s">
        <v>253</v>
      </c>
    </row>
    <row r="177" spans="1:1" x14ac:dyDescent="0.25">
      <c r="A177" s="11" t="s">
        <v>254</v>
      </c>
    </row>
    <row r="178" spans="1:1" x14ac:dyDescent="0.25">
      <c r="A178" s="11" t="s">
        <v>255</v>
      </c>
    </row>
    <row r="179" spans="1:1" x14ac:dyDescent="0.25">
      <c r="A179" s="11" t="s">
        <v>256</v>
      </c>
    </row>
    <row r="180" spans="1:1" x14ac:dyDescent="0.25">
      <c r="A180" s="11" t="s">
        <v>257</v>
      </c>
    </row>
    <row r="181" spans="1:1" x14ac:dyDescent="0.25">
      <c r="A181" s="11" t="s">
        <v>258</v>
      </c>
    </row>
    <row r="182" spans="1:1" x14ac:dyDescent="0.25">
      <c r="A182" s="11" t="s">
        <v>259</v>
      </c>
    </row>
    <row r="183" spans="1:1" x14ac:dyDescent="0.25">
      <c r="A183" s="11" t="s">
        <v>260</v>
      </c>
    </row>
    <row r="184" spans="1:1" x14ac:dyDescent="0.25">
      <c r="A184" s="11" t="s">
        <v>261</v>
      </c>
    </row>
    <row r="185" spans="1:1" x14ac:dyDescent="0.25">
      <c r="A185" s="11" t="s">
        <v>262</v>
      </c>
    </row>
    <row r="186" spans="1:1" x14ac:dyDescent="0.25">
      <c r="A186" s="11" t="s">
        <v>263</v>
      </c>
    </row>
    <row r="187" spans="1:1" x14ac:dyDescent="0.25">
      <c r="A187" s="11" t="s">
        <v>264</v>
      </c>
    </row>
    <row r="188" spans="1:1" x14ac:dyDescent="0.25">
      <c r="A188" s="11" t="s">
        <v>265</v>
      </c>
    </row>
    <row r="189" spans="1:1" x14ac:dyDescent="0.25">
      <c r="A189" s="11" t="s">
        <v>266</v>
      </c>
    </row>
    <row r="190" spans="1:1" x14ac:dyDescent="0.25">
      <c r="A190" s="11" t="s">
        <v>267</v>
      </c>
    </row>
    <row r="191" spans="1:1" x14ac:dyDescent="0.25">
      <c r="A191" s="11" t="s">
        <v>268</v>
      </c>
    </row>
    <row r="192" spans="1:1" x14ac:dyDescent="0.25">
      <c r="A192" s="11" t="s">
        <v>269</v>
      </c>
    </row>
    <row r="193" spans="1:1" x14ac:dyDescent="0.25">
      <c r="A193" s="11" t="s">
        <v>270</v>
      </c>
    </row>
    <row r="194" spans="1:1" x14ac:dyDescent="0.25">
      <c r="A194" s="11" t="s">
        <v>271</v>
      </c>
    </row>
    <row r="195" spans="1:1" x14ac:dyDescent="0.25">
      <c r="A195" s="11" t="s">
        <v>272</v>
      </c>
    </row>
    <row r="196" spans="1:1" x14ac:dyDescent="0.25">
      <c r="A196" s="11" t="s">
        <v>273</v>
      </c>
    </row>
    <row r="197" spans="1:1" x14ac:dyDescent="0.25">
      <c r="A197" s="11" t="s">
        <v>274</v>
      </c>
    </row>
    <row r="198" spans="1:1" x14ac:dyDescent="0.25">
      <c r="A198" s="11" t="s">
        <v>275</v>
      </c>
    </row>
    <row r="199" spans="1:1" x14ac:dyDescent="0.25">
      <c r="A199" s="11" t="s">
        <v>276</v>
      </c>
    </row>
    <row r="200" spans="1:1" x14ac:dyDescent="0.25">
      <c r="A200" s="11" t="s">
        <v>277</v>
      </c>
    </row>
    <row r="201" spans="1:1" x14ac:dyDescent="0.25">
      <c r="A201" s="11" t="s">
        <v>278</v>
      </c>
    </row>
    <row r="202" spans="1:1" x14ac:dyDescent="0.25">
      <c r="A202" s="11" t="s">
        <v>279</v>
      </c>
    </row>
    <row r="203" spans="1:1" x14ac:dyDescent="0.25">
      <c r="A203" s="11" t="s">
        <v>280</v>
      </c>
    </row>
    <row r="204" spans="1:1" x14ac:dyDescent="0.25">
      <c r="A204" s="11" t="s">
        <v>281</v>
      </c>
    </row>
    <row r="205" spans="1:1" x14ac:dyDescent="0.25">
      <c r="A205" s="11" t="s">
        <v>282</v>
      </c>
    </row>
    <row r="206" spans="1:1" x14ac:dyDescent="0.25">
      <c r="A206" s="11" t="s">
        <v>283</v>
      </c>
    </row>
    <row r="207" spans="1:1" x14ac:dyDescent="0.25">
      <c r="A207" s="11" t="s">
        <v>284</v>
      </c>
    </row>
    <row r="208" spans="1:1" x14ac:dyDescent="0.25">
      <c r="A208" s="11" t="s">
        <v>285</v>
      </c>
    </row>
    <row r="209" spans="1:1" x14ac:dyDescent="0.25">
      <c r="A209" s="11" t="s">
        <v>286</v>
      </c>
    </row>
    <row r="210" spans="1:1" x14ac:dyDescent="0.25">
      <c r="A210" s="11" t="s">
        <v>287</v>
      </c>
    </row>
    <row r="211" spans="1:1" x14ac:dyDescent="0.25">
      <c r="A211" s="11" t="s">
        <v>288</v>
      </c>
    </row>
    <row r="212" spans="1:1" x14ac:dyDescent="0.25">
      <c r="A212" s="11" t="s">
        <v>289</v>
      </c>
    </row>
    <row r="213" spans="1:1" x14ac:dyDescent="0.25">
      <c r="A213" s="11" t="s">
        <v>290</v>
      </c>
    </row>
    <row r="214" spans="1:1" x14ac:dyDescent="0.25">
      <c r="A214" s="11" t="s">
        <v>291</v>
      </c>
    </row>
    <row r="215" spans="1:1" x14ac:dyDescent="0.25">
      <c r="A215" s="11" t="s">
        <v>292</v>
      </c>
    </row>
    <row r="216" spans="1:1" x14ac:dyDescent="0.25">
      <c r="A216" s="11" t="s">
        <v>293</v>
      </c>
    </row>
    <row r="217" spans="1:1" x14ac:dyDescent="0.25">
      <c r="A217" s="11" t="s">
        <v>294</v>
      </c>
    </row>
    <row r="218" spans="1:1" x14ac:dyDescent="0.25">
      <c r="A218" s="11" t="s">
        <v>295</v>
      </c>
    </row>
    <row r="219" spans="1:1" x14ac:dyDescent="0.25">
      <c r="A219" s="11" t="s">
        <v>296</v>
      </c>
    </row>
    <row r="220" spans="1:1" x14ac:dyDescent="0.25">
      <c r="A220" s="11" t="s">
        <v>297</v>
      </c>
    </row>
    <row r="221" spans="1:1" x14ac:dyDescent="0.25">
      <c r="A221" s="11" t="s">
        <v>298</v>
      </c>
    </row>
    <row r="222" spans="1:1" x14ac:dyDescent="0.25">
      <c r="A222" s="11" t="s">
        <v>299</v>
      </c>
    </row>
    <row r="223" spans="1:1" x14ac:dyDescent="0.25">
      <c r="A223" s="11" t="s">
        <v>300</v>
      </c>
    </row>
    <row r="224" spans="1:1" x14ac:dyDescent="0.25">
      <c r="A224" s="11" t="s">
        <v>301</v>
      </c>
    </row>
    <row r="225" spans="1:1" x14ac:dyDescent="0.25">
      <c r="A225" s="11" t="s">
        <v>302</v>
      </c>
    </row>
    <row r="226" spans="1:1" x14ac:dyDescent="0.25">
      <c r="A226" s="11" t="s">
        <v>303</v>
      </c>
    </row>
    <row r="227" spans="1:1" x14ac:dyDescent="0.25">
      <c r="A227" s="11" t="s">
        <v>304</v>
      </c>
    </row>
    <row r="228" spans="1:1" x14ac:dyDescent="0.25">
      <c r="A228" s="11" t="s">
        <v>305</v>
      </c>
    </row>
    <row r="229" spans="1:1" x14ac:dyDescent="0.25">
      <c r="A229" s="11" t="s">
        <v>306</v>
      </c>
    </row>
    <row r="230" spans="1:1" x14ac:dyDescent="0.25">
      <c r="A230" s="11" t="s">
        <v>307</v>
      </c>
    </row>
    <row r="231" spans="1:1" x14ac:dyDescent="0.25">
      <c r="A231" s="11" t="s">
        <v>308</v>
      </c>
    </row>
    <row r="232" spans="1:1" x14ac:dyDescent="0.25">
      <c r="A232" s="11" t="s">
        <v>309</v>
      </c>
    </row>
    <row r="233" spans="1:1" x14ac:dyDescent="0.25">
      <c r="A233" s="11" t="s">
        <v>310</v>
      </c>
    </row>
    <row r="234" spans="1:1" x14ac:dyDescent="0.25">
      <c r="A234" s="11" t="s">
        <v>311</v>
      </c>
    </row>
    <row r="235" spans="1:1" x14ac:dyDescent="0.25">
      <c r="A235" s="11" t="s">
        <v>312</v>
      </c>
    </row>
    <row r="236" spans="1:1" x14ac:dyDescent="0.25">
      <c r="A236" s="11" t="s">
        <v>313</v>
      </c>
    </row>
    <row r="237" spans="1:1" x14ac:dyDescent="0.25">
      <c r="A237" s="11" t="s">
        <v>314</v>
      </c>
    </row>
    <row r="238" spans="1:1" x14ac:dyDescent="0.25">
      <c r="A238" s="11" t="s">
        <v>315</v>
      </c>
    </row>
    <row r="239" spans="1:1" x14ac:dyDescent="0.25">
      <c r="A239" s="11" t="s">
        <v>316</v>
      </c>
    </row>
    <row r="240" spans="1:1" x14ac:dyDescent="0.25">
      <c r="A240" s="11" t="s">
        <v>317</v>
      </c>
    </row>
    <row r="241" spans="1:1" x14ac:dyDescent="0.25">
      <c r="A241" s="11" t="s">
        <v>318</v>
      </c>
    </row>
    <row r="242" spans="1:1" x14ac:dyDescent="0.25">
      <c r="A242" s="11" t="s">
        <v>319</v>
      </c>
    </row>
    <row r="243" spans="1:1" x14ac:dyDescent="0.25">
      <c r="A243" s="11" t="s">
        <v>320</v>
      </c>
    </row>
    <row r="244" spans="1:1" x14ac:dyDescent="0.25">
      <c r="A244" s="11" t="s">
        <v>321</v>
      </c>
    </row>
    <row r="245" spans="1:1" x14ac:dyDescent="0.25">
      <c r="A245" s="11" t="s">
        <v>322</v>
      </c>
    </row>
    <row r="246" spans="1:1" x14ac:dyDescent="0.25">
      <c r="A246" s="11" t="s">
        <v>323</v>
      </c>
    </row>
    <row r="247" spans="1:1" x14ac:dyDescent="0.25">
      <c r="A247" s="11" t="s">
        <v>324</v>
      </c>
    </row>
    <row r="248" spans="1:1" x14ac:dyDescent="0.25">
      <c r="A248" s="11" t="s">
        <v>325</v>
      </c>
    </row>
    <row r="249" spans="1:1" x14ac:dyDescent="0.25">
      <c r="A249" s="11" t="s">
        <v>326</v>
      </c>
    </row>
    <row r="250" spans="1:1" x14ac:dyDescent="0.25">
      <c r="A250" s="11" t="s">
        <v>327</v>
      </c>
    </row>
    <row r="251" spans="1:1" x14ac:dyDescent="0.25">
      <c r="A251" s="11" t="s">
        <v>328</v>
      </c>
    </row>
    <row r="252" spans="1:1" x14ac:dyDescent="0.25">
      <c r="A252" s="11" t="s">
        <v>329</v>
      </c>
    </row>
    <row r="253" spans="1:1" x14ac:dyDescent="0.25">
      <c r="A253" s="11" t="s">
        <v>330</v>
      </c>
    </row>
    <row r="254" spans="1:1" x14ac:dyDescent="0.25">
      <c r="A254" s="11" t="s">
        <v>331</v>
      </c>
    </row>
    <row r="255" spans="1:1" x14ac:dyDescent="0.25">
      <c r="A255" s="11" t="s">
        <v>332</v>
      </c>
    </row>
    <row r="256" spans="1:1" x14ac:dyDescent="0.25">
      <c r="A256" s="11" t="s">
        <v>333</v>
      </c>
    </row>
    <row r="257" spans="1:1" x14ac:dyDescent="0.25">
      <c r="A257" s="11" t="s">
        <v>334</v>
      </c>
    </row>
    <row r="258" spans="1:1" x14ac:dyDescent="0.25">
      <c r="A258" s="11" t="s">
        <v>335</v>
      </c>
    </row>
    <row r="259" spans="1:1" x14ac:dyDescent="0.25">
      <c r="A259" s="11" t="s">
        <v>336</v>
      </c>
    </row>
    <row r="260" spans="1:1" x14ac:dyDescent="0.25">
      <c r="A260" s="11" t="s">
        <v>337</v>
      </c>
    </row>
    <row r="261" spans="1:1" x14ac:dyDescent="0.25">
      <c r="A261" s="11" t="s">
        <v>338</v>
      </c>
    </row>
    <row r="262" spans="1:1" x14ac:dyDescent="0.25">
      <c r="A262" s="11" t="s">
        <v>339</v>
      </c>
    </row>
    <row r="263" spans="1:1" x14ac:dyDescent="0.25">
      <c r="A263" s="11" t="s">
        <v>340</v>
      </c>
    </row>
    <row r="264" spans="1:1" x14ac:dyDescent="0.25">
      <c r="A264" s="11" t="s">
        <v>341</v>
      </c>
    </row>
    <row r="265" spans="1:1" x14ac:dyDescent="0.25">
      <c r="A265" s="11" t="s">
        <v>342</v>
      </c>
    </row>
    <row r="266" spans="1:1" x14ac:dyDescent="0.25">
      <c r="A266" s="11" t="s">
        <v>343</v>
      </c>
    </row>
    <row r="267" spans="1:1" x14ac:dyDescent="0.25">
      <c r="A267" s="11" t="s">
        <v>344</v>
      </c>
    </row>
    <row r="268" spans="1:1" x14ac:dyDescent="0.25">
      <c r="A268" s="11" t="s">
        <v>345</v>
      </c>
    </row>
    <row r="269" spans="1:1" x14ac:dyDescent="0.25">
      <c r="A269" s="11" t="s">
        <v>346</v>
      </c>
    </row>
    <row r="270" spans="1:1" x14ac:dyDescent="0.25">
      <c r="A270" s="11" t="s">
        <v>347</v>
      </c>
    </row>
    <row r="271" spans="1:1" x14ac:dyDescent="0.25">
      <c r="A271" s="11" t="s">
        <v>348</v>
      </c>
    </row>
    <row r="272" spans="1:1" x14ac:dyDescent="0.25">
      <c r="A272" s="11" t="s">
        <v>349</v>
      </c>
    </row>
    <row r="273" spans="1:1" x14ac:dyDescent="0.25">
      <c r="A273" s="11" t="s">
        <v>350</v>
      </c>
    </row>
    <row r="274" spans="1:1" x14ac:dyDescent="0.25">
      <c r="A274" s="11" t="s">
        <v>351</v>
      </c>
    </row>
    <row r="275" spans="1:1" x14ac:dyDescent="0.25">
      <c r="A275" s="11" t="s">
        <v>352</v>
      </c>
    </row>
    <row r="276" spans="1:1" x14ac:dyDescent="0.25">
      <c r="A276" s="11" t="s">
        <v>353</v>
      </c>
    </row>
    <row r="277" spans="1:1" x14ac:dyDescent="0.25">
      <c r="A277" s="11" t="s">
        <v>354</v>
      </c>
    </row>
    <row r="278" spans="1:1" x14ac:dyDescent="0.25">
      <c r="A278" s="11" t="s">
        <v>355</v>
      </c>
    </row>
    <row r="279" spans="1:1" x14ac:dyDescent="0.25">
      <c r="A279" s="11" t="s">
        <v>356</v>
      </c>
    </row>
    <row r="280" spans="1:1" x14ac:dyDescent="0.25">
      <c r="A280" s="11" t="s">
        <v>357</v>
      </c>
    </row>
    <row r="281" spans="1:1" x14ac:dyDescent="0.25">
      <c r="A281" s="11" t="s">
        <v>358</v>
      </c>
    </row>
    <row r="282" spans="1:1" x14ac:dyDescent="0.25">
      <c r="A282" s="11" t="s">
        <v>359</v>
      </c>
    </row>
    <row r="283" spans="1:1" x14ac:dyDescent="0.25">
      <c r="A283" s="11" t="s">
        <v>360</v>
      </c>
    </row>
    <row r="284" spans="1:1" x14ac:dyDescent="0.25">
      <c r="A284" s="11" t="s">
        <v>361</v>
      </c>
    </row>
    <row r="285" spans="1:1" x14ac:dyDescent="0.25">
      <c r="A285" s="11" t="s">
        <v>362</v>
      </c>
    </row>
    <row r="286" spans="1:1" x14ac:dyDescent="0.25">
      <c r="A286" s="11" t="s">
        <v>363</v>
      </c>
    </row>
    <row r="287" spans="1:1" x14ac:dyDescent="0.25">
      <c r="A287" s="11" t="s">
        <v>364</v>
      </c>
    </row>
    <row r="288" spans="1:1" x14ac:dyDescent="0.25">
      <c r="A288" s="11" t="s">
        <v>365</v>
      </c>
    </row>
    <row r="289" spans="1:1" x14ac:dyDescent="0.25">
      <c r="A289" s="11" t="s">
        <v>366</v>
      </c>
    </row>
    <row r="290" spans="1:1" x14ac:dyDescent="0.25">
      <c r="A290" s="11" t="s">
        <v>367</v>
      </c>
    </row>
    <row r="291" spans="1:1" x14ac:dyDescent="0.25">
      <c r="A291" s="11" t="s">
        <v>368</v>
      </c>
    </row>
    <row r="292" spans="1:1" x14ac:dyDescent="0.25">
      <c r="A292" s="11" t="s">
        <v>369</v>
      </c>
    </row>
    <row r="293" spans="1:1" x14ac:dyDescent="0.25">
      <c r="A293" s="11" t="s">
        <v>370</v>
      </c>
    </row>
    <row r="294" spans="1:1" x14ac:dyDescent="0.25">
      <c r="A294" s="11" t="s">
        <v>371</v>
      </c>
    </row>
    <row r="295" spans="1:1" x14ac:dyDescent="0.25">
      <c r="A295" s="11" t="s">
        <v>372</v>
      </c>
    </row>
    <row r="296" spans="1:1" x14ac:dyDescent="0.25">
      <c r="A296" s="11" t="s">
        <v>373</v>
      </c>
    </row>
    <row r="297" spans="1:1" x14ac:dyDescent="0.25">
      <c r="A297" s="11" t="s">
        <v>374</v>
      </c>
    </row>
    <row r="298" spans="1:1" x14ac:dyDescent="0.25">
      <c r="A298" s="11" t="s">
        <v>375</v>
      </c>
    </row>
    <row r="299" spans="1:1" x14ac:dyDescent="0.25">
      <c r="A299" s="11" t="s">
        <v>376</v>
      </c>
    </row>
    <row r="300" spans="1:1" x14ac:dyDescent="0.25">
      <c r="A300" s="11" t="s">
        <v>377</v>
      </c>
    </row>
    <row r="301" spans="1:1" x14ac:dyDescent="0.25">
      <c r="A301" s="11" t="s">
        <v>378</v>
      </c>
    </row>
    <row r="302" spans="1:1" x14ac:dyDescent="0.25">
      <c r="A302" s="11" t="s">
        <v>379</v>
      </c>
    </row>
    <row r="303" spans="1:1" x14ac:dyDescent="0.25">
      <c r="A303" s="11" t="s">
        <v>380</v>
      </c>
    </row>
    <row r="304" spans="1:1" x14ac:dyDescent="0.25">
      <c r="A304" s="11" t="s">
        <v>381</v>
      </c>
    </row>
    <row r="305" spans="1:1" x14ac:dyDescent="0.25">
      <c r="A305" s="11" t="s">
        <v>382</v>
      </c>
    </row>
    <row r="306" spans="1:1" x14ac:dyDescent="0.25">
      <c r="A306" s="11" t="s">
        <v>383</v>
      </c>
    </row>
    <row r="307" spans="1:1" x14ac:dyDescent="0.25">
      <c r="A307" s="11" t="s">
        <v>384</v>
      </c>
    </row>
    <row r="308" spans="1:1" x14ac:dyDescent="0.25">
      <c r="A308" s="11" t="s">
        <v>385</v>
      </c>
    </row>
    <row r="309" spans="1:1" x14ac:dyDescent="0.25">
      <c r="A309" s="11" t="s">
        <v>386</v>
      </c>
    </row>
    <row r="310" spans="1:1" x14ac:dyDescent="0.25">
      <c r="A310" s="11" t="s">
        <v>387</v>
      </c>
    </row>
    <row r="311" spans="1:1" x14ac:dyDescent="0.25">
      <c r="A311" s="11" t="s">
        <v>388</v>
      </c>
    </row>
    <row r="312" spans="1:1" x14ac:dyDescent="0.25">
      <c r="A312" s="11" t="s">
        <v>389</v>
      </c>
    </row>
    <row r="313" spans="1:1" x14ac:dyDescent="0.25">
      <c r="A313" s="11" t="s">
        <v>390</v>
      </c>
    </row>
    <row r="314" spans="1:1" x14ac:dyDescent="0.25">
      <c r="A314" s="11" t="s">
        <v>391</v>
      </c>
    </row>
    <row r="315" spans="1:1" x14ac:dyDescent="0.25">
      <c r="A315" s="11" t="s">
        <v>392</v>
      </c>
    </row>
    <row r="316" spans="1:1" x14ac:dyDescent="0.25">
      <c r="A316" s="11" t="s">
        <v>393</v>
      </c>
    </row>
    <row r="317" spans="1:1" x14ac:dyDescent="0.25">
      <c r="A317" s="11" t="s">
        <v>394</v>
      </c>
    </row>
    <row r="318" spans="1:1" x14ac:dyDescent="0.25">
      <c r="A318" s="11" t="s">
        <v>395</v>
      </c>
    </row>
    <row r="319" spans="1:1" x14ac:dyDescent="0.25">
      <c r="A319" s="11" t="s">
        <v>396</v>
      </c>
    </row>
    <row r="320" spans="1:1" x14ac:dyDescent="0.25">
      <c r="A320" s="11" t="s">
        <v>397</v>
      </c>
    </row>
    <row r="321" spans="1:1" x14ac:dyDescent="0.25">
      <c r="A321" s="11" t="s">
        <v>398</v>
      </c>
    </row>
    <row r="322" spans="1:1" x14ac:dyDescent="0.25">
      <c r="A322" s="11" t="s">
        <v>399</v>
      </c>
    </row>
    <row r="323" spans="1:1" x14ac:dyDescent="0.25">
      <c r="A323" s="11" t="s">
        <v>400</v>
      </c>
    </row>
    <row r="324" spans="1:1" x14ac:dyDescent="0.25">
      <c r="A324" s="11" t="s">
        <v>401</v>
      </c>
    </row>
    <row r="325" spans="1:1" x14ac:dyDescent="0.25">
      <c r="A325" s="11" t="s">
        <v>402</v>
      </c>
    </row>
    <row r="326" spans="1:1" x14ac:dyDescent="0.25">
      <c r="A326" s="11" t="s">
        <v>403</v>
      </c>
    </row>
    <row r="327" spans="1:1" x14ac:dyDescent="0.25">
      <c r="A327" s="11" t="s">
        <v>404</v>
      </c>
    </row>
    <row r="328" spans="1:1" x14ac:dyDescent="0.25">
      <c r="A328" s="11" t="s">
        <v>405</v>
      </c>
    </row>
    <row r="329" spans="1:1" x14ac:dyDescent="0.25">
      <c r="A329" s="11" t="s">
        <v>406</v>
      </c>
    </row>
    <row r="330" spans="1:1" x14ac:dyDescent="0.25">
      <c r="A330" s="11" t="s">
        <v>407</v>
      </c>
    </row>
    <row r="331" spans="1:1" x14ac:dyDescent="0.25">
      <c r="A331" s="11" t="s">
        <v>408</v>
      </c>
    </row>
    <row r="332" spans="1:1" x14ac:dyDescent="0.25">
      <c r="A332" s="11" t="s">
        <v>409</v>
      </c>
    </row>
    <row r="333" spans="1:1" x14ac:dyDescent="0.25">
      <c r="A333" s="11" t="s">
        <v>410</v>
      </c>
    </row>
    <row r="334" spans="1:1" x14ac:dyDescent="0.25">
      <c r="A334" s="11" t="s">
        <v>411</v>
      </c>
    </row>
    <row r="335" spans="1:1" x14ac:dyDescent="0.25">
      <c r="A335" s="11" t="s">
        <v>412</v>
      </c>
    </row>
    <row r="336" spans="1:1" x14ac:dyDescent="0.25">
      <c r="A336" s="11" t="s">
        <v>413</v>
      </c>
    </row>
    <row r="337" spans="1:1" x14ac:dyDescent="0.25">
      <c r="A337" s="11" t="s">
        <v>414</v>
      </c>
    </row>
    <row r="338" spans="1:1" x14ac:dyDescent="0.25">
      <c r="A338" s="11" t="s">
        <v>415</v>
      </c>
    </row>
    <row r="339" spans="1:1" x14ac:dyDescent="0.25">
      <c r="A339" s="11" t="s">
        <v>416</v>
      </c>
    </row>
    <row r="340" spans="1:1" x14ac:dyDescent="0.25">
      <c r="A340" s="11" t="s">
        <v>417</v>
      </c>
    </row>
    <row r="341" spans="1:1" x14ac:dyDescent="0.25">
      <c r="A341" s="11" t="s">
        <v>418</v>
      </c>
    </row>
    <row r="342" spans="1:1" x14ac:dyDescent="0.25">
      <c r="A342" s="11" t="s">
        <v>419</v>
      </c>
    </row>
    <row r="343" spans="1:1" x14ac:dyDescent="0.25">
      <c r="A343" s="11" t="s">
        <v>420</v>
      </c>
    </row>
    <row r="344" spans="1:1" x14ac:dyDescent="0.25">
      <c r="A344" s="11" t="s">
        <v>421</v>
      </c>
    </row>
    <row r="345" spans="1:1" x14ac:dyDescent="0.25">
      <c r="A345" s="11" t="s">
        <v>422</v>
      </c>
    </row>
    <row r="346" spans="1:1" x14ac:dyDescent="0.25">
      <c r="A346" s="11" t="s">
        <v>423</v>
      </c>
    </row>
    <row r="347" spans="1:1" x14ac:dyDescent="0.25">
      <c r="A347" s="11" t="s">
        <v>424</v>
      </c>
    </row>
    <row r="348" spans="1:1" x14ac:dyDescent="0.25">
      <c r="A348" s="11" t="s">
        <v>425</v>
      </c>
    </row>
    <row r="349" spans="1:1" x14ac:dyDescent="0.25">
      <c r="A349" s="11" t="s">
        <v>426</v>
      </c>
    </row>
    <row r="350" spans="1:1" x14ac:dyDescent="0.25">
      <c r="A350" s="11" t="s">
        <v>427</v>
      </c>
    </row>
    <row r="351" spans="1:1" x14ac:dyDescent="0.25">
      <c r="A351" s="11" t="s">
        <v>428</v>
      </c>
    </row>
    <row r="352" spans="1:1" x14ac:dyDescent="0.25">
      <c r="A352" s="11" t="s">
        <v>429</v>
      </c>
    </row>
    <row r="353" spans="1:1" x14ac:dyDescent="0.25">
      <c r="A353" s="11" t="s">
        <v>430</v>
      </c>
    </row>
    <row r="354" spans="1:1" x14ac:dyDescent="0.25">
      <c r="A354" s="11" t="s">
        <v>431</v>
      </c>
    </row>
    <row r="355" spans="1:1" x14ac:dyDescent="0.25">
      <c r="A355" s="11" t="s">
        <v>432</v>
      </c>
    </row>
    <row r="356" spans="1:1" x14ac:dyDescent="0.25">
      <c r="A356" s="11" t="s">
        <v>433</v>
      </c>
    </row>
    <row r="357" spans="1:1" x14ac:dyDescent="0.25">
      <c r="A357" s="11" t="s">
        <v>434</v>
      </c>
    </row>
    <row r="358" spans="1:1" x14ac:dyDescent="0.25">
      <c r="A358" s="11" t="s">
        <v>435</v>
      </c>
    </row>
    <row r="359" spans="1:1" x14ac:dyDescent="0.25">
      <c r="A359" s="11" t="s">
        <v>436</v>
      </c>
    </row>
    <row r="360" spans="1:1" x14ac:dyDescent="0.25">
      <c r="A360" s="11" t="s">
        <v>437</v>
      </c>
    </row>
    <row r="361" spans="1:1" x14ac:dyDescent="0.25">
      <c r="A361" s="11" t="s">
        <v>438</v>
      </c>
    </row>
    <row r="362" spans="1:1" x14ac:dyDescent="0.25">
      <c r="A362" s="11" t="s">
        <v>439</v>
      </c>
    </row>
    <row r="363" spans="1:1" x14ac:dyDescent="0.25">
      <c r="A363" s="11" t="s">
        <v>440</v>
      </c>
    </row>
    <row r="364" spans="1:1" x14ac:dyDescent="0.25">
      <c r="A364" s="11" t="s">
        <v>441</v>
      </c>
    </row>
    <row r="365" spans="1:1" x14ac:dyDescent="0.25">
      <c r="A365" s="11" t="s">
        <v>442</v>
      </c>
    </row>
    <row r="366" spans="1:1" x14ac:dyDescent="0.25">
      <c r="A366" s="11" t="s">
        <v>443</v>
      </c>
    </row>
    <row r="367" spans="1:1" x14ac:dyDescent="0.25">
      <c r="A367" s="11" t="s">
        <v>444</v>
      </c>
    </row>
    <row r="368" spans="1:1" x14ac:dyDescent="0.25">
      <c r="A368" s="11" t="s">
        <v>445</v>
      </c>
    </row>
    <row r="369" spans="1:1" x14ac:dyDescent="0.25">
      <c r="A369" s="11" t="s">
        <v>446</v>
      </c>
    </row>
    <row r="370" spans="1:1" x14ac:dyDescent="0.25">
      <c r="A370" s="11" t="s">
        <v>447</v>
      </c>
    </row>
    <row r="371" spans="1:1" x14ac:dyDescent="0.25">
      <c r="A371" s="11" t="s">
        <v>448</v>
      </c>
    </row>
    <row r="372" spans="1:1" x14ac:dyDescent="0.25">
      <c r="A372" s="11" t="s">
        <v>449</v>
      </c>
    </row>
    <row r="373" spans="1:1" x14ac:dyDescent="0.25">
      <c r="A373" s="11" t="s">
        <v>450</v>
      </c>
    </row>
    <row r="374" spans="1:1" x14ac:dyDescent="0.25">
      <c r="A374" s="11" t="s">
        <v>451</v>
      </c>
    </row>
    <row r="375" spans="1:1" x14ac:dyDescent="0.25">
      <c r="A375" s="11" t="s">
        <v>452</v>
      </c>
    </row>
    <row r="376" spans="1:1" x14ac:dyDescent="0.25">
      <c r="A376" s="11" t="s">
        <v>453</v>
      </c>
    </row>
    <row r="377" spans="1:1" x14ac:dyDescent="0.25">
      <c r="A377" s="11" t="s">
        <v>454</v>
      </c>
    </row>
    <row r="378" spans="1:1" x14ac:dyDescent="0.25">
      <c r="A378" s="11" t="s">
        <v>455</v>
      </c>
    </row>
    <row r="379" spans="1:1" x14ac:dyDescent="0.25">
      <c r="A379" s="11" t="s">
        <v>456</v>
      </c>
    </row>
    <row r="380" spans="1:1" x14ac:dyDescent="0.25">
      <c r="A380" s="11" t="s">
        <v>457</v>
      </c>
    </row>
    <row r="381" spans="1:1" x14ac:dyDescent="0.25">
      <c r="A381" s="11" t="s">
        <v>458</v>
      </c>
    </row>
    <row r="382" spans="1:1" x14ac:dyDescent="0.25">
      <c r="A382" s="11" t="s">
        <v>459</v>
      </c>
    </row>
    <row r="383" spans="1:1" x14ac:dyDescent="0.25">
      <c r="A383" s="11" t="s">
        <v>460</v>
      </c>
    </row>
    <row r="384" spans="1:1" x14ac:dyDescent="0.25">
      <c r="A384" s="11" t="s">
        <v>461</v>
      </c>
    </row>
    <row r="385" spans="1:1" x14ac:dyDescent="0.25">
      <c r="A385" s="11" t="s">
        <v>462</v>
      </c>
    </row>
    <row r="386" spans="1:1" x14ac:dyDescent="0.25">
      <c r="A386" s="11" t="s">
        <v>463</v>
      </c>
    </row>
    <row r="387" spans="1:1" x14ac:dyDescent="0.25">
      <c r="A387" s="11" t="s">
        <v>464</v>
      </c>
    </row>
    <row r="388" spans="1:1" x14ac:dyDescent="0.25">
      <c r="A388" s="11" t="s">
        <v>465</v>
      </c>
    </row>
    <row r="389" spans="1:1" x14ac:dyDescent="0.25">
      <c r="A389" s="11" t="s">
        <v>466</v>
      </c>
    </row>
    <row r="390" spans="1:1" x14ac:dyDescent="0.25">
      <c r="A390" s="11" t="s">
        <v>467</v>
      </c>
    </row>
    <row r="391" spans="1:1" x14ac:dyDescent="0.25">
      <c r="A391" s="11" t="s">
        <v>468</v>
      </c>
    </row>
    <row r="392" spans="1:1" x14ac:dyDescent="0.25">
      <c r="A392" s="11" t="s">
        <v>469</v>
      </c>
    </row>
    <row r="393" spans="1:1" x14ac:dyDescent="0.25">
      <c r="A393" s="11" t="s">
        <v>470</v>
      </c>
    </row>
    <row r="394" spans="1:1" x14ac:dyDescent="0.25">
      <c r="A394" s="11" t="s">
        <v>471</v>
      </c>
    </row>
    <row r="395" spans="1:1" x14ac:dyDescent="0.25">
      <c r="A395" s="11" t="s">
        <v>472</v>
      </c>
    </row>
    <row r="396" spans="1:1" x14ac:dyDescent="0.25">
      <c r="A396" s="11" t="s">
        <v>473</v>
      </c>
    </row>
    <row r="397" spans="1:1" x14ac:dyDescent="0.25">
      <c r="A397" s="11" t="s">
        <v>474</v>
      </c>
    </row>
    <row r="398" spans="1:1" x14ac:dyDescent="0.25">
      <c r="A398" s="11" t="s">
        <v>475</v>
      </c>
    </row>
    <row r="399" spans="1:1" x14ac:dyDescent="0.25">
      <c r="A399" s="11" t="s">
        <v>476</v>
      </c>
    </row>
    <row r="400" spans="1:1" x14ac:dyDescent="0.25">
      <c r="A400" s="11" t="s">
        <v>477</v>
      </c>
    </row>
    <row r="401" spans="1:1" x14ac:dyDescent="0.25">
      <c r="A401" s="11" t="s">
        <v>478</v>
      </c>
    </row>
    <row r="402" spans="1:1" x14ac:dyDescent="0.25">
      <c r="A402" s="11" t="s">
        <v>479</v>
      </c>
    </row>
    <row r="403" spans="1:1" x14ac:dyDescent="0.25">
      <c r="A403" s="11" t="s">
        <v>480</v>
      </c>
    </row>
    <row r="404" spans="1:1" x14ac:dyDescent="0.25">
      <c r="A404" s="11" t="s">
        <v>481</v>
      </c>
    </row>
    <row r="405" spans="1:1" x14ac:dyDescent="0.25">
      <c r="A405" s="11" t="s">
        <v>482</v>
      </c>
    </row>
    <row r="406" spans="1:1" x14ac:dyDescent="0.25">
      <c r="A406" s="11" t="s">
        <v>483</v>
      </c>
    </row>
    <row r="407" spans="1:1" x14ac:dyDescent="0.25">
      <c r="A407" s="11" t="s">
        <v>484</v>
      </c>
    </row>
    <row r="408" spans="1:1" x14ac:dyDescent="0.25">
      <c r="A408" s="11" t="s">
        <v>485</v>
      </c>
    </row>
    <row r="409" spans="1:1" x14ac:dyDescent="0.25">
      <c r="A409" s="11" t="s">
        <v>486</v>
      </c>
    </row>
    <row r="410" spans="1:1" x14ac:dyDescent="0.25">
      <c r="A410" s="11" t="s">
        <v>487</v>
      </c>
    </row>
    <row r="411" spans="1:1" x14ac:dyDescent="0.25">
      <c r="A411" s="11" t="s">
        <v>488</v>
      </c>
    </row>
    <row r="412" spans="1:1" x14ac:dyDescent="0.25">
      <c r="A412" s="11" t="s">
        <v>489</v>
      </c>
    </row>
    <row r="413" spans="1:1" x14ac:dyDescent="0.25">
      <c r="A413" s="11" t="s">
        <v>490</v>
      </c>
    </row>
    <row r="414" spans="1:1" x14ac:dyDescent="0.25">
      <c r="A414" s="11" t="s">
        <v>491</v>
      </c>
    </row>
    <row r="415" spans="1:1" x14ac:dyDescent="0.25">
      <c r="A415" s="11" t="s">
        <v>492</v>
      </c>
    </row>
    <row r="416" spans="1:1" x14ac:dyDescent="0.25">
      <c r="A416" s="11" t="s">
        <v>493</v>
      </c>
    </row>
    <row r="417" spans="1:1" x14ac:dyDescent="0.25">
      <c r="A417" s="11" t="s">
        <v>494</v>
      </c>
    </row>
    <row r="418" spans="1:1" x14ac:dyDescent="0.25">
      <c r="A418" s="11" t="s">
        <v>495</v>
      </c>
    </row>
    <row r="419" spans="1:1" x14ac:dyDescent="0.25">
      <c r="A419" s="11" t="s">
        <v>496</v>
      </c>
    </row>
    <row r="420" spans="1:1" x14ac:dyDescent="0.25">
      <c r="A420" s="11" t="s">
        <v>497</v>
      </c>
    </row>
    <row r="421" spans="1:1" x14ac:dyDescent="0.25">
      <c r="A421" s="11" t="s">
        <v>498</v>
      </c>
    </row>
    <row r="422" spans="1:1" x14ac:dyDescent="0.25">
      <c r="A422" s="11" t="s">
        <v>499</v>
      </c>
    </row>
    <row r="423" spans="1:1" x14ac:dyDescent="0.25">
      <c r="A423" s="11" t="s">
        <v>500</v>
      </c>
    </row>
    <row r="424" spans="1:1" x14ac:dyDescent="0.25">
      <c r="A424" s="11" t="s">
        <v>501</v>
      </c>
    </row>
    <row r="425" spans="1:1" x14ac:dyDescent="0.25">
      <c r="A425" s="11" t="s">
        <v>502</v>
      </c>
    </row>
    <row r="426" spans="1:1" x14ac:dyDescent="0.25">
      <c r="A426" s="11" t="s">
        <v>503</v>
      </c>
    </row>
    <row r="427" spans="1:1" x14ac:dyDescent="0.25">
      <c r="A427" s="11" t="s">
        <v>504</v>
      </c>
    </row>
    <row r="428" spans="1:1" x14ac:dyDescent="0.25">
      <c r="A428" s="11" t="s">
        <v>505</v>
      </c>
    </row>
    <row r="429" spans="1:1" x14ac:dyDescent="0.25">
      <c r="A429" s="11" t="s">
        <v>506</v>
      </c>
    </row>
    <row r="430" spans="1:1" x14ac:dyDescent="0.25">
      <c r="A430" s="11" t="s">
        <v>507</v>
      </c>
    </row>
    <row r="431" spans="1:1" x14ac:dyDescent="0.25">
      <c r="A431" s="11" t="s">
        <v>508</v>
      </c>
    </row>
    <row r="432" spans="1:1" x14ac:dyDescent="0.25">
      <c r="A432" s="11" t="s">
        <v>509</v>
      </c>
    </row>
    <row r="433" spans="1:1" x14ac:dyDescent="0.25">
      <c r="A433" s="11" t="s">
        <v>510</v>
      </c>
    </row>
    <row r="434" spans="1:1" x14ac:dyDescent="0.25">
      <c r="A434" s="11" t="s">
        <v>511</v>
      </c>
    </row>
    <row r="435" spans="1:1" x14ac:dyDescent="0.25">
      <c r="A435" s="11" t="s">
        <v>512</v>
      </c>
    </row>
    <row r="436" spans="1:1" x14ac:dyDescent="0.25">
      <c r="A436" s="11" t="s">
        <v>513</v>
      </c>
    </row>
    <row r="437" spans="1:1" x14ac:dyDescent="0.25">
      <c r="A437" s="11" t="s">
        <v>514</v>
      </c>
    </row>
    <row r="438" spans="1:1" x14ac:dyDescent="0.25">
      <c r="A438" s="11" t="s">
        <v>515</v>
      </c>
    </row>
    <row r="439" spans="1:1" x14ac:dyDescent="0.25">
      <c r="A439" s="11" t="s">
        <v>516</v>
      </c>
    </row>
    <row r="440" spans="1:1" x14ac:dyDescent="0.25">
      <c r="A440" s="11" t="s">
        <v>517</v>
      </c>
    </row>
    <row r="441" spans="1:1" x14ac:dyDescent="0.25">
      <c r="A441" s="11" t="s">
        <v>518</v>
      </c>
    </row>
    <row r="442" spans="1:1" x14ac:dyDescent="0.25">
      <c r="A442" s="11" t="s">
        <v>519</v>
      </c>
    </row>
    <row r="443" spans="1:1" x14ac:dyDescent="0.25">
      <c r="A443" s="11" t="s">
        <v>520</v>
      </c>
    </row>
    <row r="444" spans="1:1" x14ac:dyDescent="0.25">
      <c r="A444" s="11" t="s">
        <v>521</v>
      </c>
    </row>
    <row r="445" spans="1:1" x14ac:dyDescent="0.25">
      <c r="A445" s="11" t="s">
        <v>522</v>
      </c>
    </row>
    <row r="446" spans="1:1" x14ac:dyDescent="0.25">
      <c r="A446" s="11" t="s">
        <v>523</v>
      </c>
    </row>
    <row r="447" spans="1:1" x14ac:dyDescent="0.25">
      <c r="A447" s="11" t="s">
        <v>524</v>
      </c>
    </row>
    <row r="448" spans="1:1" x14ac:dyDescent="0.25">
      <c r="A448" s="11" t="s">
        <v>525</v>
      </c>
    </row>
    <row r="449" spans="1:1" x14ac:dyDescent="0.25">
      <c r="A449" s="11" t="s">
        <v>526</v>
      </c>
    </row>
    <row r="450" spans="1:1" x14ac:dyDescent="0.25">
      <c r="A450" s="11" t="s">
        <v>527</v>
      </c>
    </row>
    <row r="451" spans="1:1" x14ac:dyDescent="0.25">
      <c r="A451" s="11" t="s">
        <v>528</v>
      </c>
    </row>
    <row r="452" spans="1:1" x14ac:dyDescent="0.25">
      <c r="A452" s="11" t="s">
        <v>529</v>
      </c>
    </row>
    <row r="453" spans="1:1" x14ac:dyDescent="0.25">
      <c r="A453" s="11" t="s">
        <v>530</v>
      </c>
    </row>
    <row r="454" spans="1:1" x14ac:dyDescent="0.25">
      <c r="A454" s="11" t="s">
        <v>531</v>
      </c>
    </row>
    <row r="455" spans="1:1" x14ac:dyDescent="0.25">
      <c r="A455" s="11" t="s">
        <v>532</v>
      </c>
    </row>
    <row r="456" spans="1:1" x14ac:dyDescent="0.25">
      <c r="A456" s="11" t="s">
        <v>533</v>
      </c>
    </row>
    <row r="457" spans="1:1" x14ac:dyDescent="0.25">
      <c r="A457" s="11" t="s">
        <v>534</v>
      </c>
    </row>
    <row r="458" spans="1:1" x14ac:dyDescent="0.25">
      <c r="A458" s="11" t="s">
        <v>535</v>
      </c>
    </row>
    <row r="459" spans="1:1" x14ac:dyDescent="0.25">
      <c r="A459" s="11" t="s">
        <v>536</v>
      </c>
    </row>
    <row r="460" spans="1:1" x14ac:dyDescent="0.25">
      <c r="A460" s="11" t="s">
        <v>537</v>
      </c>
    </row>
    <row r="461" spans="1:1" x14ac:dyDescent="0.25">
      <c r="A461" s="11" t="s">
        <v>538</v>
      </c>
    </row>
    <row r="462" spans="1:1" x14ac:dyDescent="0.25">
      <c r="A462" s="11" t="s">
        <v>539</v>
      </c>
    </row>
    <row r="463" spans="1:1" x14ac:dyDescent="0.25">
      <c r="A463" s="11" t="s">
        <v>540</v>
      </c>
    </row>
    <row r="464" spans="1:1" x14ac:dyDescent="0.25">
      <c r="A464" s="11" t="s">
        <v>541</v>
      </c>
    </row>
    <row r="465" spans="1:1" x14ac:dyDescent="0.25">
      <c r="A465" s="11" t="s">
        <v>542</v>
      </c>
    </row>
    <row r="466" spans="1:1" x14ac:dyDescent="0.25">
      <c r="A466" s="11" t="s">
        <v>543</v>
      </c>
    </row>
    <row r="467" spans="1:1" x14ac:dyDescent="0.25">
      <c r="A467" s="11" t="s">
        <v>544</v>
      </c>
    </row>
    <row r="468" spans="1:1" x14ac:dyDescent="0.25">
      <c r="A468" s="11" t="s">
        <v>545</v>
      </c>
    </row>
    <row r="469" spans="1:1" x14ac:dyDescent="0.25">
      <c r="A469" s="11" t="s">
        <v>546</v>
      </c>
    </row>
    <row r="470" spans="1:1" x14ac:dyDescent="0.25">
      <c r="A470" s="11" t="s">
        <v>547</v>
      </c>
    </row>
    <row r="471" spans="1:1" x14ac:dyDescent="0.25">
      <c r="A471" s="11" t="s">
        <v>548</v>
      </c>
    </row>
    <row r="472" spans="1:1" x14ac:dyDescent="0.25">
      <c r="A472" s="11" t="s">
        <v>549</v>
      </c>
    </row>
    <row r="473" spans="1:1" x14ac:dyDescent="0.25">
      <c r="A473" s="11" t="s">
        <v>550</v>
      </c>
    </row>
    <row r="474" spans="1:1" x14ac:dyDescent="0.25">
      <c r="A474" s="11" t="s">
        <v>551</v>
      </c>
    </row>
    <row r="475" spans="1:1" x14ac:dyDescent="0.25">
      <c r="A475" s="11" t="s">
        <v>552</v>
      </c>
    </row>
    <row r="476" spans="1:1" x14ac:dyDescent="0.25">
      <c r="A476" s="11" t="s">
        <v>553</v>
      </c>
    </row>
    <row r="477" spans="1:1" x14ac:dyDescent="0.25">
      <c r="A477" s="11" t="s">
        <v>554</v>
      </c>
    </row>
    <row r="478" spans="1:1" x14ac:dyDescent="0.25">
      <c r="A478" s="11" t="s">
        <v>555</v>
      </c>
    </row>
    <row r="479" spans="1:1" x14ac:dyDescent="0.25">
      <c r="A479" s="11" t="s">
        <v>556</v>
      </c>
    </row>
    <row r="480" spans="1:1" x14ac:dyDescent="0.25">
      <c r="A480" s="11" t="s">
        <v>557</v>
      </c>
    </row>
    <row r="481" spans="1:1" x14ac:dyDescent="0.25">
      <c r="A481" s="11" t="s">
        <v>558</v>
      </c>
    </row>
    <row r="482" spans="1:1" x14ac:dyDescent="0.25">
      <c r="A482" s="11" t="s">
        <v>559</v>
      </c>
    </row>
    <row r="483" spans="1:1" x14ac:dyDescent="0.25">
      <c r="A483" s="11" t="s">
        <v>560</v>
      </c>
    </row>
    <row r="484" spans="1:1" x14ac:dyDescent="0.25">
      <c r="A484" s="11" t="s">
        <v>561</v>
      </c>
    </row>
    <row r="485" spans="1:1" x14ac:dyDescent="0.25">
      <c r="A485" s="11" t="s">
        <v>562</v>
      </c>
    </row>
    <row r="486" spans="1:1" x14ac:dyDescent="0.25">
      <c r="A486" s="11" t="s">
        <v>563</v>
      </c>
    </row>
    <row r="487" spans="1:1" x14ac:dyDescent="0.25">
      <c r="A487" s="11" t="s">
        <v>564</v>
      </c>
    </row>
    <row r="488" spans="1:1" x14ac:dyDescent="0.25">
      <c r="A488" s="11" t="s">
        <v>565</v>
      </c>
    </row>
    <row r="489" spans="1:1" x14ac:dyDescent="0.25">
      <c r="A489" s="11" t="s">
        <v>566</v>
      </c>
    </row>
    <row r="490" spans="1:1" x14ac:dyDescent="0.25">
      <c r="A490" s="11" t="s">
        <v>567</v>
      </c>
    </row>
    <row r="491" spans="1:1" x14ac:dyDescent="0.25">
      <c r="A491" s="11" t="s">
        <v>568</v>
      </c>
    </row>
    <row r="492" spans="1:1" x14ac:dyDescent="0.25">
      <c r="A492" s="11" t="s">
        <v>569</v>
      </c>
    </row>
    <row r="493" spans="1:1" x14ac:dyDescent="0.25">
      <c r="A493" s="11" t="s">
        <v>570</v>
      </c>
    </row>
    <row r="494" spans="1:1" x14ac:dyDescent="0.25">
      <c r="A494" s="11" t="s">
        <v>571</v>
      </c>
    </row>
    <row r="495" spans="1:1" x14ac:dyDescent="0.25">
      <c r="A495" s="11" t="s">
        <v>572</v>
      </c>
    </row>
    <row r="496" spans="1:1" x14ac:dyDescent="0.25">
      <c r="A496" s="11" t="s">
        <v>573</v>
      </c>
    </row>
    <row r="497" spans="1:1" x14ac:dyDescent="0.25">
      <c r="A497" s="11" t="s">
        <v>574</v>
      </c>
    </row>
    <row r="498" spans="1:1" x14ac:dyDescent="0.25">
      <c r="A498" s="11" t="s">
        <v>575</v>
      </c>
    </row>
    <row r="499" spans="1:1" x14ac:dyDescent="0.25">
      <c r="A499" s="11" t="s">
        <v>576</v>
      </c>
    </row>
    <row r="500" spans="1:1" x14ac:dyDescent="0.25">
      <c r="A500" s="11" t="s">
        <v>577</v>
      </c>
    </row>
    <row r="501" spans="1:1" x14ac:dyDescent="0.25">
      <c r="A501" s="11" t="s">
        <v>578</v>
      </c>
    </row>
    <row r="502" spans="1:1" x14ac:dyDescent="0.25">
      <c r="A502" s="11" t="s">
        <v>579</v>
      </c>
    </row>
    <row r="503" spans="1:1" x14ac:dyDescent="0.25">
      <c r="A503" s="11" t="s">
        <v>580</v>
      </c>
    </row>
    <row r="504" spans="1:1" x14ac:dyDescent="0.25">
      <c r="A504" s="11" t="s">
        <v>581</v>
      </c>
    </row>
    <row r="505" spans="1:1" x14ac:dyDescent="0.25">
      <c r="A505" s="11" t="s">
        <v>582</v>
      </c>
    </row>
    <row r="506" spans="1:1" x14ac:dyDescent="0.25">
      <c r="A506" s="11" t="s">
        <v>583</v>
      </c>
    </row>
    <row r="507" spans="1:1" x14ac:dyDescent="0.25">
      <c r="A507" s="11" t="s">
        <v>584</v>
      </c>
    </row>
    <row r="508" spans="1:1" x14ac:dyDescent="0.25">
      <c r="A508" s="11" t="s">
        <v>585</v>
      </c>
    </row>
    <row r="509" spans="1:1" x14ac:dyDescent="0.25">
      <c r="A509" s="11" t="s">
        <v>586</v>
      </c>
    </row>
    <row r="510" spans="1:1" x14ac:dyDescent="0.25">
      <c r="A510" s="11" t="s">
        <v>587</v>
      </c>
    </row>
    <row r="511" spans="1:1" x14ac:dyDescent="0.25">
      <c r="A511" s="11" t="s">
        <v>588</v>
      </c>
    </row>
    <row r="512" spans="1:1" x14ac:dyDescent="0.25">
      <c r="A512" s="11" t="s">
        <v>589</v>
      </c>
    </row>
    <row r="513" spans="1:1" x14ac:dyDescent="0.25">
      <c r="A513" s="11" t="s">
        <v>590</v>
      </c>
    </row>
    <row r="514" spans="1:1" x14ac:dyDescent="0.25">
      <c r="A514" s="11" t="s">
        <v>591</v>
      </c>
    </row>
    <row r="515" spans="1:1" x14ac:dyDescent="0.25">
      <c r="A515" s="11" t="s">
        <v>592</v>
      </c>
    </row>
    <row r="516" spans="1:1" x14ac:dyDescent="0.25">
      <c r="A516" s="11" t="s">
        <v>593</v>
      </c>
    </row>
    <row r="517" spans="1:1" x14ac:dyDescent="0.25">
      <c r="A517" s="11" t="s">
        <v>594</v>
      </c>
    </row>
    <row r="518" spans="1:1" x14ac:dyDescent="0.25">
      <c r="A518" s="11" t="s">
        <v>595</v>
      </c>
    </row>
    <row r="519" spans="1:1" x14ac:dyDescent="0.25">
      <c r="A519" s="11" t="s">
        <v>596</v>
      </c>
    </row>
    <row r="520" spans="1:1" x14ac:dyDescent="0.25">
      <c r="A520" s="11" t="s">
        <v>597</v>
      </c>
    </row>
    <row r="521" spans="1:1" x14ac:dyDescent="0.25">
      <c r="A521" s="11" t="s">
        <v>598</v>
      </c>
    </row>
    <row r="522" spans="1:1" x14ac:dyDescent="0.25">
      <c r="A522" s="11" t="s">
        <v>599</v>
      </c>
    </row>
    <row r="523" spans="1:1" x14ac:dyDescent="0.25">
      <c r="A523" s="11" t="s">
        <v>600</v>
      </c>
    </row>
    <row r="524" spans="1:1" x14ac:dyDescent="0.25">
      <c r="A524" s="11" t="s">
        <v>601</v>
      </c>
    </row>
    <row r="525" spans="1:1" x14ac:dyDescent="0.25">
      <c r="A525" s="11" t="s">
        <v>602</v>
      </c>
    </row>
    <row r="526" spans="1:1" x14ac:dyDescent="0.25">
      <c r="A526" s="11" t="s">
        <v>603</v>
      </c>
    </row>
    <row r="527" spans="1:1" x14ac:dyDescent="0.25">
      <c r="A527" s="11" t="s">
        <v>604</v>
      </c>
    </row>
    <row r="528" spans="1:1" x14ac:dyDescent="0.25">
      <c r="A528" s="11" t="s">
        <v>605</v>
      </c>
    </row>
    <row r="529" spans="1:1" x14ac:dyDescent="0.25">
      <c r="A529" s="11" t="s">
        <v>606</v>
      </c>
    </row>
    <row r="530" spans="1:1" x14ac:dyDescent="0.25">
      <c r="A530" s="11" t="s">
        <v>607</v>
      </c>
    </row>
    <row r="531" spans="1:1" x14ac:dyDescent="0.25">
      <c r="A531" s="11" t="s">
        <v>608</v>
      </c>
    </row>
    <row r="532" spans="1:1" x14ac:dyDescent="0.25">
      <c r="A532" s="11" t="s">
        <v>609</v>
      </c>
    </row>
    <row r="533" spans="1:1" x14ac:dyDescent="0.25">
      <c r="A533" s="11" t="s">
        <v>610</v>
      </c>
    </row>
    <row r="534" spans="1:1" x14ac:dyDescent="0.25">
      <c r="A534" s="11" t="s">
        <v>611</v>
      </c>
    </row>
    <row r="535" spans="1:1" x14ac:dyDescent="0.25">
      <c r="A535" s="11" t="s">
        <v>612</v>
      </c>
    </row>
    <row r="536" spans="1:1" x14ac:dyDescent="0.25">
      <c r="A536" s="11" t="s">
        <v>613</v>
      </c>
    </row>
    <row r="537" spans="1:1" x14ac:dyDescent="0.25">
      <c r="A537" s="11" t="s">
        <v>614</v>
      </c>
    </row>
    <row r="538" spans="1:1" x14ac:dyDescent="0.25">
      <c r="A538" s="11" t="s">
        <v>615</v>
      </c>
    </row>
    <row r="539" spans="1:1" x14ac:dyDescent="0.25">
      <c r="A539" s="11" t="s">
        <v>616</v>
      </c>
    </row>
    <row r="540" spans="1:1" x14ac:dyDescent="0.25">
      <c r="A540" s="11" t="s">
        <v>617</v>
      </c>
    </row>
    <row r="541" spans="1:1" x14ac:dyDescent="0.25">
      <c r="A541" s="11" t="s">
        <v>618</v>
      </c>
    </row>
    <row r="542" spans="1:1" x14ac:dyDescent="0.25">
      <c r="A542" s="11" t="s">
        <v>619</v>
      </c>
    </row>
    <row r="543" spans="1:1" x14ac:dyDescent="0.25">
      <c r="A543" s="11" t="s">
        <v>620</v>
      </c>
    </row>
    <row r="544" spans="1:1" x14ac:dyDescent="0.25">
      <c r="A544" s="11" t="s">
        <v>621</v>
      </c>
    </row>
    <row r="545" spans="1:1" x14ac:dyDescent="0.25">
      <c r="A545" s="11" t="s">
        <v>622</v>
      </c>
    </row>
    <row r="546" spans="1:1" x14ac:dyDescent="0.25">
      <c r="A546" s="11" t="s">
        <v>623</v>
      </c>
    </row>
    <row r="547" spans="1:1" x14ac:dyDescent="0.25">
      <c r="A547" s="11" t="s">
        <v>624</v>
      </c>
    </row>
    <row r="548" spans="1:1" x14ac:dyDescent="0.25">
      <c r="A548" s="11" t="s">
        <v>625</v>
      </c>
    </row>
    <row r="549" spans="1:1" x14ac:dyDescent="0.25">
      <c r="A549" s="11" t="s">
        <v>626</v>
      </c>
    </row>
    <row r="550" spans="1:1" x14ac:dyDescent="0.25">
      <c r="A550" s="11" t="s">
        <v>627</v>
      </c>
    </row>
    <row r="551" spans="1:1" x14ac:dyDescent="0.25">
      <c r="A551" s="11" t="s">
        <v>628</v>
      </c>
    </row>
    <row r="552" spans="1:1" x14ac:dyDescent="0.25">
      <c r="A552" s="11" t="s">
        <v>629</v>
      </c>
    </row>
    <row r="553" spans="1:1" x14ac:dyDescent="0.25">
      <c r="A553" s="11" t="s">
        <v>630</v>
      </c>
    </row>
    <row r="554" spans="1:1" x14ac:dyDescent="0.25">
      <c r="A554" s="11" t="s">
        <v>631</v>
      </c>
    </row>
    <row r="555" spans="1:1" x14ac:dyDescent="0.25">
      <c r="A555" s="11" t="s">
        <v>632</v>
      </c>
    </row>
    <row r="556" spans="1:1" x14ac:dyDescent="0.25">
      <c r="A556" s="11" t="s">
        <v>633</v>
      </c>
    </row>
    <row r="557" spans="1:1" x14ac:dyDescent="0.25">
      <c r="A557" s="11" t="s">
        <v>634</v>
      </c>
    </row>
    <row r="558" spans="1:1" x14ac:dyDescent="0.25">
      <c r="A558" s="11" t="s">
        <v>635</v>
      </c>
    </row>
    <row r="559" spans="1:1" x14ac:dyDescent="0.25">
      <c r="A559" s="11" t="s">
        <v>636</v>
      </c>
    </row>
    <row r="560" spans="1:1" x14ac:dyDescent="0.25">
      <c r="A560" s="11" t="s">
        <v>637</v>
      </c>
    </row>
    <row r="561" spans="1:1" x14ac:dyDescent="0.25">
      <c r="A561" s="11" t="s">
        <v>638</v>
      </c>
    </row>
    <row r="562" spans="1:1" x14ac:dyDescent="0.25">
      <c r="A562" s="11" t="s">
        <v>639</v>
      </c>
    </row>
    <row r="563" spans="1:1" x14ac:dyDescent="0.25">
      <c r="A563" s="11" t="s">
        <v>640</v>
      </c>
    </row>
    <row r="564" spans="1:1" x14ac:dyDescent="0.25">
      <c r="A564" s="11" t="s">
        <v>641</v>
      </c>
    </row>
    <row r="565" spans="1:1" x14ac:dyDescent="0.25">
      <c r="A565" s="11" t="s">
        <v>642</v>
      </c>
    </row>
    <row r="566" spans="1:1" x14ac:dyDescent="0.25">
      <c r="A566" s="11" t="s">
        <v>643</v>
      </c>
    </row>
    <row r="567" spans="1:1" x14ac:dyDescent="0.25">
      <c r="A567" s="11" t="s">
        <v>644</v>
      </c>
    </row>
    <row r="568" spans="1:1" x14ac:dyDescent="0.25">
      <c r="A568" s="11" t="s">
        <v>645</v>
      </c>
    </row>
    <row r="569" spans="1:1" x14ac:dyDescent="0.25">
      <c r="A569" s="11" t="s">
        <v>646</v>
      </c>
    </row>
    <row r="570" spans="1:1" x14ac:dyDescent="0.25">
      <c r="A570" s="11" t="s">
        <v>647</v>
      </c>
    </row>
    <row r="571" spans="1:1" x14ac:dyDescent="0.25">
      <c r="A571" s="11" t="s">
        <v>648</v>
      </c>
    </row>
    <row r="572" spans="1:1" x14ac:dyDescent="0.25">
      <c r="A572" s="11" t="s">
        <v>649</v>
      </c>
    </row>
    <row r="573" spans="1:1" x14ac:dyDescent="0.25">
      <c r="A573" s="11" t="s">
        <v>650</v>
      </c>
    </row>
    <row r="574" spans="1:1" x14ac:dyDescent="0.25">
      <c r="A574" s="11" t="s">
        <v>651</v>
      </c>
    </row>
    <row r="575" spans="1:1" x14ac:dyDescent="0.25">
      <c r="A575" s="11" t="s">
        <v>652</v>
      </c>
    </row>
    <row r="576" spans="1:1" x14ac:dyDescent="0.25">
      <c r="A576" s="11" t="s">
        <v>653</v>
      </c>
    </row>
    <row r="577" spans="1:1" x14ac:dyDescent="0.25">
      <c r="A577" s="11" t="s">
        <v>654</v>
      </c>
    </row>
    <row r="578" spans="1:1" x14ac:dyDescent="0.25">
      <c r="A578" s="11" t="s">
        <v>655</v>
      </c>
    </row>
    <row r="579" spans="1:1" x14ac:dyDescent="0.25">
      <c r="A579" s="11" t="s">
        <v>656</v>
      </c>
    </row>
    <row r="580" spans="1:1" x14ac:dyDescent="0.25">
      <c r="A580" s="11" t="s">
        <v>657</v>
      </c>
    </row>
    <row r="581" spans="1:1" x14ac:dyDescent="0.25">
      <c r="A581" s="11" t="s">
        <v>658</v>
      </c>
    </row>
    <row r="582" spans="1:1" x14ac:dyDescent="0.25">
      <c r="A582" s="11" t="s">
        <v>659</v>
      </c>
    </row>
    <row r="583" spans="1:1" x14ac:dyDescent="0.25">
      <c r="A583" s="11" t="s">
        <v>660</v>
      </c>
    </row>
    <row r="584" spans="1:1" x14ac:dyDescent="0.25">
      <c r="A584" s="11" t="s">
        <v>661</v>
      </c>
    </row>
    <row r="585" spans="1:1" x14ac:dyDescent="0.25">
      <c r="A585" s="11" t="s">
        <v>662</v>
      </c>
    </row>
    <row r="586" spans="1:1" x14ac:dyDescent="0.25">
      <c r="A586" s="11" t="s">
        <v>663</v>
      </c>
    </row>
    <row r="587" spans="1:1" x14ac:dyDescent="0.25">
      <c r="A587" s="11" t="s">
        <v>664</v>
      </c>
    </row>
    <row r="588" spans="1:1" x14ac:dyDescent="0.25">
      <c r="A588" s="11" t="s">
        <v>665</v>
      </c>
    </row>
    <row r="589" spans="1:1" x14ac:dyDescent="0.25">
      <c r="A589" s="11" t="s">
        <v>666</v>
      </c>
    </row>
    <row r="590" spans="1:1" x14ac:dyDescent="0.25">
      <c r="A590" s="11" t="s">
        <v>667</v>
      </c>
    </row>
    <row r="591" spans="1:1" x14ac:dyDescent="0.25">
      <c r="A591" s="11" t="s">
        <v>668</v>
      </c>
    </row>
    <row r="592" spans="1:1" x14ac:dyDescent="0.25">
      <c r="A592" s="11" t="s">
        <v>669</v>
      </c>
    </row>
    <row r="593" spans="1:1" x14ac:dyDescent="0.25">
      <c r="A593" s="11" t="s">
        <v>670</v>
      </c>
    </row>
    <row r="594" spans="1:1" x14ac:dyDescent="0.25">
      <c r="A594" s="11" t="s">
        <v>671</v>
      </c>
    </row>
    <row r="595" spans="1:1" x14ac:dyDescent="0.25">
      <c r="A595" s="11" t="s">
        <v>672</v>
      </c>
    </row>
    <row r="596" spans="1:1" x14ac:dyDescent="0.25">
      <c r="A596" s="11" t="s">
        <v>673</v>
      </c>
    </row>
    <row r="597" spans="1:1" x14ac:dyDescent="0.25">
      <c r="A597" s="11" t="s">
        <v>674</v>
      </c>
    </row>
    <row r="598" spans="1:1" x14ac:dyDescent="0.25">
      <c r="A598" s="11" t="s">
        <v>675</v>
      </c>
    </row>
    <row r="599" spans="1:1" x14ac:dyDescent="0.25">
      <c r="A599" s="11" t="s">
        <v>676</v>
      </c>
    </row>
    <row r="600" spans="1:1" x14ac:dyDescent="0.25">
      <c r="A600" s="11" t="s">
        <v>677</v>
      </c>
    </row>
    <row r="601" spans="1:1" x14ac:dyDescent="0.25">
      <c r="A601" s="11" t="s">
        <v>678</v>
      </c>
    </row>
    <row r="602" spans="1:1" x14ac:dyDescent="0.25">
      <c r="A602" s="11" t="s">
        <v>679</v>
      </c>
    </row>
    <row r="603" spans="1:1" x14ac:dyDescent="0.25">
      <c r="A603" s="11" t="s">
        <v>680</v>
      </c>
    </row>
    <row r="604" spans="1:1" x14ac:dyDescent="0.25">
      <c r="A604" s="11" t="s">
        <v>681</v>
      </c>
    </row>
    <row r="605" spans="1:1" x14ac:dyDescent="0.25">
      <c r="A605" s="11" t="s">
        <v>682</v>
      </c>
    </row>
    <row r="606" spans="1:1" x14ac:dyDescent="0.25">
      <c r="A606" s="11" t="s">
        <v>683</v>
      </c>
    </row>
    <row r="607" spans="1:1" x14ac:dyDescent="0.25">
      <c r="A607" s="11" t="s">
        <v>684</v>
      </c>
    </row>
    <row r="608" spans="1:1" x14ac:dyDescent="0.25">
      <c r="A608" s="11" t="s">
        <v>685</v>
      </c>
    </row>
    <row r="609" spans="1:1" x14ac:dyDescent="0.25">
      <c r="A609" s="11" t="s">
        <v>686</v>
      </c>
    </row>
    <row r="610" spans="1:1" x14ac:dyDescent="0.25">
      <c r="A610" s="11" t="s">
        <v>687</v>
      </c>
    </row>
    <row r="611" spans="1:1" x14ac:dyDescent="0.25">
      <c r="A611" s="11" t="s">
        <v>688</v>
      </c>
    </row>
    <row r="612" spans="1:1" x14ac:dyDescent="0.25">
      <c r="A612" s="11" t="s">
        <v>689</v>
      </c>
    </row>
    <row r="613" spans="1:1" x14ac:dyDescent="0.25">
      <c r="A613" s="11" t="s">
        <v>690</v>
      </c>
    </row>
    <row r="614" spans="1:1" x14ac:dyDescent="0.25">
      <c r="A614" s="11" t="s">
        <v>691</v>
      </c>
    </row>
    <row r="615" spans="1:1" x14ac:dyDescent="0.25">
      <c r="A615" s="11" t="s">
        <v>692</v>
      </c>
    </row>
    <row r="616" spans="1:1" x14ac:dyDescent="0.25">
      <c r="A616" s="11" t="s">
        <v>693</v>
      </c>
    </row>
    <row r="617" spans="1:1" x14ac:dyDescent="0.25">
      <c r="A617" s="11" t="s">
        <v>694</v>
      </c>
    </row>
    <row r="618" spans="1:1" x14ac:dyDescent="0.25">
      <c r="A618" s="11" t="s">
        <v>695</v>
      </c>
    </row>
    <row r="619" spans="1:1" x14ac:dyDescent="0.25">
      <c r="A619" s="11" t="s">
        <v>696</v>
      </c>
    </row>
    <row r="620" spans="1:1" x14ac:dyDescent="0.25">
      <c r="A620" s="11" t="s">
        <v>697</v>
      </c>
    </row>
    <row r="621" spans="1:1" x14ac:dyDescent="0.25">
      <c r="A621" s="11" t="s">
        <v>698</v>
      </c>
    </row>
    <row r="622" spans="1:1" x14ac:dyDescent="0.25">
      <c r="A622" s="11" t="s">
        <v>699</v>
      </c>
    </row>
    <row r="623" spans="1:1" x14ac:dyDescent="0.25">
      <c r="A623" s="11" t="s">
        <v>700</v>
      </c>
    </row>
    <row r="624" spans="1:1" x14ac:dyDescent="0.25">
      <c r="A624" s="11" t="s">
        <v>701</v>
      </c>
    </row>
    <row r="625" spans="1:1" x14ac:dyDescent="0.25">
      <c r="A625" s="11" t="s">
        <v>702</v>
      </c>
    </row>
    <row r="626" spans="1:1" x14ac:dyDescent="0.25">
      <c r="A626" s="11" t="s">
        <v>703</v>
      </c>
    </row>
    <row r="627" spans="1:1" x14ac:dyDescent="0.25">
      <c r="A627" s="11" t="s">
        <v>704</v>
      </c>
    </row>
    <row r="628" spans="1:1" x14ac:dyDescent="0.25">
      <c r="A628" s="11" t="s">
        <v>705</v>
      </c>
    </row>
    <row r="629" spans="1:1" x14ac:dyDescent="0.25">
      <c r="A629" s="11" t="s">
        <v>706</v>
      </c>
    </row>
    <row r="630" spans="1:1" x14ac:dyDescent="0.25">
      <c r="A630" s="11" t="s">
        <v>707</v>
      </c>
    </row>
    <row r="631" spans="1:1" x14ac:dyDescent="0.25">
      <c r="A631" s="11" t="s">
        <v>708</v>
      </c>
    </row>
    <row r="632" spans="1:1" x14ac:dyDescent="0.25">
      <c r="A632" s="11" t="s">
        <v>709</v>
      </c>
    </row>
    <row r="633" spans="1:1" x14ac:dyDescent="0.25">
      <c r="A633" s="11" t="s">
        <v>710</v>
      </c>
    </row>
    <row r="634" spans="1:1" x14ac:dyDescent="0.25">
      <c r="A634" s="11" t="s">
        <v>711</v>
      </c>
    </row>
    <row r="635" spans="1:1" x14ac:dyDescent="0.25">
      <c r="A635" s="11" t="s">
        <v>712</v>
      </c>
    </row>
    <row r="636" spans="1:1" x14ac:dyDescent="0.25">
      <c r="A636" s="11" t="s">
        <v>713</v>
      </c>
    </row>
    <row r="637" spans="1:1" x14ac:dyDescent="0.25">
      <c r="A637" s="11" t="s">
        <v>714</v>
      </c>
    </row>
    <row r="638" spans="1:1" x14ac:dyDescent="0.25">
      <c r="A638" s="11" t="s">
        <v>715</v>
      </c>
    </row>
    <row r="639" spans="1:1" x14ac:dyDescent="0.25">
      <c r="A639" s="11" t="s">
        <v>716</v>
      </c>
    </row>
    <row r="640" spans="1:1" x14ac:dyDescent="0.25">
      <c r="A640" s="11" t="s">
        <v>717</v>
      </c>
    </row>
    <row r="641" spans="1:1" x14ac:dyDescent="0.25">
      <c r="A641" s="11" t="s">
        <v>718</v>
      </c>
    </row>
    <row r="642" spans="1:1" x14ac:dyDescent="0.25">
      <c r="A642" s="11" t="s">
        <v>719</v>
      </c>
    </row>
    <row r="643" spans="1:1" x14ac:dyDescent="0.25">
      <c r="A643" s="11" t="s">
        <v>720</v>
      </c>
    </row>
    <row r="644" spans="1:1" x14ac:dyDescent="0.25">
      <c r="A644" s="11" t="s">
        <v>721</v>
      </c>
    </row>
    <row r="645" spans="1:1" x14ac:dyDescent="0.25">
      <c r="A645" s="11" t="s">
        <v>722</v>
      </c>
    </row>
    <row r="646" spans="1:1" x14ac:dyDescent="0.25">
      <c r="A646" s="11" t="s">
        <v>723</v>
      </c>
    </row>
    <row r="647" spans="1:1" x14ac:dyDescent="0.25">
      <c r="A647" s="11" t="s">
        <v>724</v>
      </c>
    </row>
    <row r="648" spans="1:1" x14ac:dyDescent="0.25">
      <c r="A648" s="11" t="s">
        <v>725</v>
      </c>
    </row>
    <row r="649" spans="1:1" x14ac:dyDescent="0.25">
      <c r="A649" s="11" t="s">
        <v>726</v>
      </c>
    </row>
    <row r="650" spans="1:1" x14ac:dyDescent="0.25">
      <c r="A650" s="11" t="s">
        <v>727</v>
      </c>
    </row>
    <row r="651" spans="1:1" x14ac:dyDescent="0.25">
      <c r="A651" s="11" t="s">
        <v>728</v>
      </c>
    </row>
    <row r="652" spans="1:1" x14ac:dyDescent="0.25">
      <c r="A652" s="11" t="s">
        <v>729</v>
      </c>
    </row>
    <row r="653" spans="1:1" x14ac:dyDescent="0.25">
      <c r="A653" s="11" t="s">
        <v>730</v>
      </c>
    </row>
    <row r="654" spans="1:1" x14ac:dyDescent="0.25">
      <c r="A654" s="11" t="s">
        <v>731</v>
      </c>
    </row>
    <row r="655" spans="1:1" x14ac:dyDescent="0.25">
      <c r="A655" s="11" t="s">
        <v>732</v>
      </c>
    </row>
    <row r="656" spans="1:1" x14ac:dyDescent="0.25">
      <c r="A656" s="11" t="s">
        <v>733</v>
      </c>
    </row>
    <row r="657" spans="1:1" x14ac:dyDescent="0.25">
      <c r="A657" s="11" t="s">
        <v>734</v>
      </c>
    </row>
    <row r="658" spans="1:1" x14ac:dyDescent="0.25">
      <c r="A658" s="11" t="s">
        <v>735</v>
      </c>
    </row>
    <row r="659" spans="1:1" x14ac:dyDescent="0.25">
      <c r="A659" s="11" t="s">
        <v>736</v>
      </c>
    </row>
    <row r="660" spans="1:1" x14ac:dyDescent="0.25">
      <c r="A660" s="11" t="s">
        <v>737</v>
      </c>
    </row>
    <row r="661" spans="1:1" x14ac:dyDescent="0.25">
      <c r="A661" s="11" t="s">
        <v>738</v>
      </c>
    </row>
    <row r="662" spans="1:1" x14ac:dyDescent="0.25">
      <c r="A662" s="11" t="s">
        <v>739</v>
      </c>
    </row>
    <row r="663" spans="1:1" x14ac:dyDescent="0.25">
      <c r="A663" s="11" t="s">
        <v>740</v>
      </c>
    </row>
    <row r="664" spans="1:1" x14ac:dyDescent="0.25">
      <c r="A664" s="11" t="s">
        <v>741</v>
      </c>
    </row>
    <row r="665" spans="1:1" x14ac:dyDescent="0.25">
      <c r="A665" s="11" t="s">
        <v>742</v>
      </c>
    </row>
    <row r="666" spans="1:1" x14ac:dyDescent="0.25">
      <c r="A666" s="11" t="s">
        <v>743</v>
      </c>
    </row>
    <row r="667" spans="1:1" x14ac:dyDescent="0.25">
      <c r="A667" s="11" t="s">
        <v>744</v>
      </c>
    </row>
    <row r="668" spans="1:1" x14ac:dyDescent="0.25">
      <c r="A668" s="11" t="s">
        <v>745</v>
      </c>
    </row>
    <row r="669" spans="1:1" x14ac:dyDescent="0.25">
      <c r="A669" s="11" t="s">
        <v>746</v>
      </c>
    </row>
    <row r="670" spans="1:1" x14ac:dyDescent="0.25">
      <c r="A670" s="11" t="s">
        <v>747</v>
      </c>
    </row>
    <row r="671" spans="1:1" x14ac:dyDescent="0.25">
      <c r="A671" s="11" t="s">
        <v>748</v>
      </c>
    </row>
    <row r="672" spans="1:1" x14ac:dyDescent="0.25">
      <c r="A672" s="11" t="s">
        <v>749</v>
      </c>
    </row>
    <row r="673" spans="1:1" x14ac:dyDescent="0.25">
      <c r="A673" s="11" t="s">
        <v>750</v>
      </c>
    </row>
    <row r="674" spans="1:1" x14ac:dyDescent="0.25">
      <c r="A674" s="11" t="s">
        <v>751</v>
      </c>
    </row>
    <row r="675" spans="1:1" x14ac:dyDescent="0.25">
      <c r="A675" s="11" t="s">
        <v>752</v>
      </c>
    </row>
    <row r="676" spans="1:1" x14ac:dyDescent="0.25">
      <c r="A676" s="11" t="s">
        <v>753</v>
      </c>
    </row>
    <row r="677" spans="1:1" x14ac:dyDescent="0.25">
      <c r="A677" s="11" t="s">
        <v>754</v>
      </c>
    </row>
    <row r="678" spans="1:1" x14ac:dyDescent="0.25">
      <c r="A678" s="11" t="s">
        <v>755</v>
      </c>
    </row>
    <row r="679" spans="1:1" x14ac:dyDescent="0.25">
      <c r="A679" s="11" t="s">
        <v>756</v>
      </c>
    </row>
    <row r="680" spans="1:1" x14ac:dyDescent="0.25">
      <c r="A680" s="11" t="s">
        <v>757</v>
      </c>
    </row>
    <row r="681" spans="1:1" x14ac:dyDescent="0.25">
      <c r="A681" s="11" t="s">
        <v>758</v>
      </c>
    </row>
    <row r="682" spans="1:1" x14ac:dyDescent="0.25">
      <c r="A682" s="11" t="s">
        <v>759</v>
      </c>
    </row>
    <row r="683" spans="1:1" x14ac:dyDescent="0.25">
      <c r="A683" s="11" t="s">
        <v>760</v>
      </c>
    </row>
    <row r="684" spans="1:1" x14ac:dyDescent="0.25">
      <c r="A684" s="11" t="s">
        <v>761</v>
      </c>
    </row>
    <row r="685" spans="1:1" x14ac:dyDescent="0.25">
      <c r="A685" s="11" t="s">
        <v>762</v>
      </c>
    </row>
    <row r="686" spans="1:1" x14ac:dyDescent="0.25">
      <c r="A686" s="11" t="s">
        <v>763</v>
      </c>
    </row>
    <row r="687" spans="1:1" x14ac:dyDescent="0.25">
      <c r="A687" s="11" t="s">
        <v>764</v>
      </c>
    </row>
    <row r="688" spans="1:1" x14ac:dyDescent="0.25">
      <c r="A688" s="11" t="s">
        <v>765</v>
      </c>
    </row>
    <row r="689" spans="1:1" x14ac:dyDescent="0.25">
      <c r="A689" s="11" t="s">
        <v>766</v>
      </c>
    </row>
    <row r="690" spans="1:1" x14ac:dyDescent="0.25">
      <c r="A690" s="11" t="s">
        <v>767</v>
      </c>
    </row>
    <row r="691" spans="1:1" x14ac:dyDescent="0.25">
      <c r="A691" s="11" t="s">
        <v>768</v>
      </c>
    </row>
    <row r="692" spans="1:1" x14ac:dyDescent="0.25">
      <c r="A692" s="11" t="s">
        <v>769</v>
      </c>
    </row>
    <row r="693" spans="1:1" x14ac:dyDescent="0.25">
      <c r="A693" s="11" t="s">
        <v>770</v>
      </c>
    </row>
    <row r="694" spans="1:1" x14ac:dyDescent="0.25">
      <c r="A694" s="11" t="s">
        <v>771</v>
      </c>
    </row>
    <row r="695" spans="1:1" x14ac:dyDescent="0.25">
      <c r="A695" s="11" t="s">
        <v>772</v>
      </c>
    </row>
    <row r="696" spans="1:1" x14ac:dyDescent="0.25">
      <c r="A696" s="11" t="s">
        <v>773</v>
      </c>
    </row>
    <row r="697" spans="1:1" x14ac:dyDescent="0.25">
      <c r="A697" s="11" t="s">
        <v>774</v>
      </c>
    </row>
    <row r="698" spans="1:1" x14ac:dyDescent="0.25">
      <c r="A698" s="11" t="s">
        <v>775</v>
      </c>
    </row>
    <row r="699" spans="1:1" x14ac:dyDescent="0.25">
      <c r="A699" s="11" t="s">
        <v>776</v>
      </c>
    </row>
    <row r="700" spans="1:1" x14ac:dyDescent="0.25">
      <c r="A700" s="11" t="s">
        <v>777</v>
      </c>
    </row>
    <row r="701" spans="1:1" x14ac:dyDescent="0.25">
      <c r="A701" s="11" t="s">
        <v>778</v>
      </c>
    </row>
    <row r="702" spans="1:1" x14ac:dyDescent="0.25">
      <c r="A702" s="11" t="s">
        <v>779</v>
      </c>
    </row>
    <row r="703" spans="1:1" x14ac:dyDescent="0.25">
      <c r="A703" s="11" t="s">
        <v>780</v>
      </c>
    </row>
    <row r="704" spans="1:1" x14ac:dyDescent="0.25">
      <c r="A704" s="11" t="s">
        <v>781</v>
      </c>
    </row>
    <row r="705" spans="1:1" x14ac:dyDescent="0.25">
      <c r="A705" s="11" t="s">
        <v>782</v>
      </c>
    </row>
    <row r="706" spans="1:1" x14ac:dyDescent="0.25">
      <c r="A706" s="11" t="s">
        <v>783</v>
      </c>
    </row>
    <row r="707" spans="1:1" x14ac:dyDescent="0.25">
      <c r="A707" s="11" t="s">
        <v>784</v>
      </c>
    </row>
    <row r="708" spans="1:1" x14ac:dyDescent="0.25">
      <c r="A708" s="11" t="s">
        <v>785</v>
      </c>
    </row>
    <row r="709" spans="1:1" x14ac:dyDescent="0.25">
      <c r="A709" s="11" t="s">
        <v>786</v>
      </c>
    </row>
    <row r="710" spans="1:1" x14ac:dyDescent="0.25">
      <c r="A710" s="11" t="s">
        <v>787</v>
      </c>
    </row>
    <row r="711" spans="1:1" x14ac:dyDescent="0.25">
      <c r="A711" s="11" t="s">
        <v>788</v>
      </c>
    </row>
    <row r="712" spans="1:1" x14ac:dyDescent="0.25">
      <c r="A712" s="11" t="s">
        <v>789</v>
      </c>
    </row>
    <row r="713" spans="1:1" x14ac:dyDescent="0.25">
      <c r="A713" s="11" t="s">
        <v>790</v>
      </c>
    </row>
    <row r="714" spans="1:1" x14ac:dyDescent="0.25">
      <c r="A714" s="11" t="s">
        <v>791</v>
      </c>
    </row>
    <row r="715" spans="1:1" x14ac:dyDescent="0.25">
      <c r="A715" s="11" t="s">
        <v>792</v>
      </c>
    </row>
    <row r="716" spans="1:1" x14ac:dyDescent="0.25">
      <c r="A716" s="11" t="s">
        <v>793</v>
      </c>
    </row>
    <row r="717" spans="1:1" x14ac:dyDescent="0.25">
      <c r="A717" s="11" t="s">
        <v>794</v>
      </c>
    </row>
    <row r="718" spans="1:1" x14ac:dyDescent="0.25">
      <c r="A718" s="11" t="s">
        <v>795</v>
      </c>
    </row>
    <row r="719" spans="1:1" x14ac:dyDescent="0.25">
      <c r="A719" s="11" t="s">
        <v>796</v>
      </c>
    </row>
    <row r="720" spans="1:1" x14ac:dyDescent="0.25">
      <c r="A720" s="11" t="s">
        <v>797</v>
      </c>
    </row>
    <row r="721" spans="1:1" x14ac:dyDescent="0.25">
      <c r="A721" s="11" t="s">
        <v>798</v>
      </c>
    </row>
    <row r="722" spans="1:1" x14ac:dyDescent="0.25">
      <c r="A722" s="11" t="s">
        <v>799</v>
      </c>
    </row>
    <row r="723" spans="1:1" x14ac:dyDescent="0.25">
      <c r="A723" s="11" t="s">
        <v>800</v>
      </c>
    </row>
    <row r="724" spans="1:1" x14ac:dyDescent="0.25">
      <c r="A724" s="11" t="s">
        <v>801</v>
      </c>
    </row>
    <row r="725" spans="1:1" x14ac:dyDescent="0.25">
      <c r="A725" s="11" t="s">
        <v>802</v>
      </c>
    </row>
    <row r="726" spans="1:1" x14ac:dyDescent="0.25">
      <c r="A726" s="11" t="s">
        <v>803</v>
      </c>
    </row>
    <row r="727" spans="1:1" x14ac:dyDescent="0.25">
      <c r="A727" s="11" t="s">
        <v>804</v>
      </c>
    </row>
    <row r="728" spans="1:1" x14ac:dyDescent="0.25">
      <c r="A728" s="11" t="s">
        <v>805</v>
      </c>
    </row>
    <row r="729" spans="1:1" x14ac:dyDescent="0.25">
      <c r="A729" s="11" t="s">
        <v>806</v>
      </c>
    </row>
    <row r="730" spans="1:1" x14ac:dyDescent="0.25">
      <c r="A730" s="11" t="s">
        <v>807</v>
      </c>
    </row>
    <row r="731" spans="1:1" x14ac:dyDescent="0.25">
      <c r="A731" s="11" t="s">
        <v>808</v>
      </c>
    </row>
    <row r="732" spans="1:1" x14ac:dyDescent="0.25">
      <c r="A732" s="11" t="s">
        <v>809</v>
      </c>
    </row>
    <row r="733" spans="1:1" x14ac:dyDescent="0.25">
      <c r="A733" s="11" t="s">
        <v>810</v>
      </c>
    </row>
    <row r="734" spans="1:1" x14ac:dyDescent="0.25">
      <c r="A734" s="11" t="s">
        <v>811</v>
      </c>
    </row>
    <row r="735" spans="1:1" x14ac:dyDescent="0.25">
      <c r="A735" s="11" t="s">
        <v>812</v>
      </c>
    </row>
    <row r="736" spans="1:1" x14ac:dyDescent="0.25">
      <c r="A736" s="11" t="s">
        <v>813</v>
      </c>
    </row>
    <row r="737" spans="1:1" x14ac:dyDescent="0.25">
      <c r="A737" s="11" t="s">
        <v>814</v>
      </c>
    </row>
    <row r="738" spans="1:1" x14ac:dyDescent="0.25">
      <c r="A738" s="11" t="s">
        <v>815</v>
      </c>
    </row>
    <row r="739" spans="1:1" x14ac:dyDescent="0.25">
      <c r="A739" s="11" t="s">
        <v>816</v>
      </c>
    </row>
    <row r="740" spans="1:1" x14ac:dyDescent="0.25">
      <c r="A740" s="11" t="s">
        <v>817</v>
      </c>
    </row>
    <row r="741" spans="1:1" x14ac:dyDescent="0.25">
      <c r="A741" s="11" t="s">
        <v>818</v>
      </c>
    </row>
    <row r="742" spans="1:1" x14ac:dyDescent="0.25">
      <c r="A742" s="11" t="s">
        <v>819</v>
      </c>
    </row>
    <row r="743" spans="1:1" x14ac:dyDescent="0.25">
      <c r="A743" s="11" t="s">
        <v>820</v>
      </c>
    </row>
    <row r="744" spans="1:1" x14ac:dyDescent="0.25">
      <c r="A744" s="11" t="s">
        <v>821</v>
      </c>
    </row>
    <row r="745" spans="1:1" x14ac:dyDescent="0.25">
      <c r="A745" s="11" t="s">
        <v>822</v>
      </c>
    </row>
    <row r="746" spans="1:1" x14ac:dyDescent="0.25">
      <c r="A746" s="11" t="s">
        <v>823</v>
      </c>
    </row>
    <row r="747" spans="1:1" x14ac:dyDescent="0.25">
      <c r="A747" s="11" t="s">
        <v>824</v>
      </c>
    </row>
    <row r="748" spans="1:1" x14ac:dyDescent="0.25">
      <c r="A748" s="11" t="s">
        <v>825</v>
      </c>
    </row>
    <row r="749" spans="1:1" x14ac:dyDescent="0.25">
      <c r="A749" s="11" t="s">
        <v>826</v>
      </c>
    </row>
    <row r="750" spans="1:1" x14ac:dyDescent="0.25">
      <c r="A750" s="11" t="s">
        <v>827</v>
      </c>
    </row>
    <row r="751" spans="1:1" x14ac:dyDescent="0.25">
      <c r="A751" s="11" t="s">
        <v>828</v>
      </c>
    </row>
    <row r="752" spans="1:1" x14ac:dyDescent="0.25">
      <c r="A752" s="11" t="s">
        <v>829</v>
      </c>
    </row>
    <row r="753" spans="1:1" x14ac:dyDescent="0.25">
      <c r="A753" s="11" t="s">
        <v>830</v>
      </c>
    </row>
    <row r="754" spans="1:1" x14ac:dyDescent="0.25">
      <c r="A754" s="11" t="s">
        <v>831</v>
      </c>
    </row>
    <row r="755" spans="1:1" x14ac:dyDescent="0.25">
      <c r="A755" s="11" t="s">
        <v>832</v>
      </c>
    </row>
    <row r="756" spans="1:1" x14ac:dyDescent="0.25">
      <c r="A756" s="11" t="s">
        <v>833</v>
      </c>
    </row>
    <row r="757" spans="1:1" x14ac:dyDescent="0.25">
      <c r="A757" s="11" t="s">
        <v>834</v>
      </c>
    </row>
    <row r="758" spans="1:1" x14ac:dyDescent="0.25">
      <c r="A758" s="11" t="s">
        <v>835</v>
      </c>
    </row>
    <row r="759" spans="1:1" x14ac:dyDescent="0.25">
      <c r="A759" s="11" t="s">
        <v>836</v>
      </c>
    </row>
    <row r="760" spans="1:1" x14ac:dyDescent="0.25">
      <c r="A760" s="11" t="s">
        <v>837</v>
      </c>
    </row>
    <row r="761" spans="1:1" x14ac:dyDescent="0.25">
      <c r="A761" s="11" t="s">
        <v>838</v>
      </c>
    </row>
    <row r="762" spans="1:1" x14ac:dyDescent="0.25">
      <c r="A762" s="11" t="s">
        <v>839</v>
      </c>
    </row>
    <row r="763" spans="1:1" x14ac:dyDescent="0.25">
      <c r="A763" s="11" t="s">
        <v>840</v>
      </c>
    </row>
    <row r="764" spans="1:1" x14ac:dyDescent="0.25">
      <c r="A764" s="11" t="s">
        <v>841</v>
      </c>
    </row>
    <row r="765" spans="1:1" x14ac:dyDescent="0.25">
      <c r="A765" s="11" t="s">
        <v>842</v>
      </c>
    </row>
    <row r="766" spans="1:1" x14ac:dyDescent="0.25">
      <c r="A766" s="11" t="s">
        <v>843</v>
      </c>
    </row>
    <row r="767" spans="1:1" x14ac:dyDescent="0.25">
      <c r="A767" s="11" t="s">
        <v>844</v>
      </c>
    </row>
    <row r="768" spans="1:1" x14ac:dyDescent="0.25">
      <c r="A768" s="11" t="s">
        <v>845</v>
      </c>
    </row>
    <row r="769" spans="1:1" x14ac:dyDescent="0.25">
      <c r="A769" s="11" t="s">
        <v>846</v>
      </c>
    </row>
    <row r="770" spans="1:1" x14ac:dyDescent="0.25">
      <c r="A770" s="11" t="s">
        <v>847</v>
      </c>
    </row>
    <row r="771" spans="1:1" x14ac:dyDescent="0.25">
      <c r="A771" s="11" t="s">
        <v>848</v>
      </c>
    </row>
    <row r="772" spans="1:1" x14ac:dyDescent="0.25">
      <c r="A772" s="11" t="s">
        <v>849</v>
      </c>
    </row>
    <row r="773" spans="1:1" x14ac:dyDescent="0.25">
      <c r="A773" s="11" t="s">
        <v>850</v>
      </c>
    </row>
    <row r="774" spans="1:1" x14ac:dyDescent="0.25">
      <c r="A774" s="11" t="s">
        <v>851</v>
      </c>
    </row>
    <row r="775" spans="1:1" x14ac:dyDescent="0.25">
      <c r="A775" s="11" t="s">
        <v>852</v>
      </c>
    </row>
    <row r="776" spans="1:1" x14ac:dyDescent="0.25">
      <c r="A776" s="11" t="s">
        <v>853</v>
      </c>
    </row>
    <row r="777" spans="1:1" x14ac:dyDescent="0.25">
      <c r="A777" s="11" t="s">
        <v>854</v>
      </c>
    </row>
    <row r="778" spans="1:1" x14ac:dyDescent="0.25">
      <c r="A778" s="11" t="s">
        <v>855</v>
      </c>
    </row>
    <row r="779" spans="1:1" x14ac:dyDescent="0.25">
      <c r="A779" s="11" t="s">
        <v>856</v>
      </c>
    </row>
    <row r="780" spans="1:1" x14ac:dyDescent="0.25">
      <c r="A780" s="11" t="s">
        <v>857</v>
      </c>
    </row>
    <row r="781" spans="1:1" x14ac:dyDescent="0.25">
      <c r="A781" s="11" t="s">
        <v>858</v>
      </c>
    </row>
    <row r="782" spans="1:1" x14ac:dyDescent="0.25">
      <c r="A782" s="11" t="s">
        <v>859</v>
      </c>
    </row>
    <row r="783" spans="1:1" x14ac:dyDescent="0.25">
      <c r="A783" s="11" t="s">
        <v>860</v>
      </c>
    </row>
    <row r="784" spans="1:1" x14ac:dyDescent="0.25">
      <c r="A784" s="11" t="s">
        <v>861</v>
      </c>
    </row>
    <row r="785" spans="1:1" x14ac:dyDescent="0.25">
      <c r="A785" s="11" t="s">
        <v>862</v>
      </c>
    </row>
    <row r="786" spans="1:1" x14ac:dyDescent="0.25">
      <c r="A786" s="11" t="s">
        <v>863</v>
      </c>
    </row>
    <row r="787" spans="1:1" x14ac:dyDescent="0.25">
      <c r="A787" s="11" t="s">
        <v>864</v>
      </c>
    </row>
    <row r="788" spans="1:1" x14ac:dyDescent="0.25">
      <c r="A788" s="11" t="s">
        <v>865</v>
      </c>
    </row>
    <row r="789" spans="1:1" x14ac:dyDescent="0.25">
      <c r="A789" s="11" t="s">
        <v>866</v>
      </c>
    </row>
    <row r="790" spans="1:1" x14ac:dyDescent="0.25">
      <c r="A790" s="11" t="s">
        <v>867</v>
      </c>
    </row>
    <row r="791" spans="1:1" x14ac:dyDescent="0.25">
      <c r="A791" s="11" t="s">
        <v>868</v>
      </c>
    </row>
    <row r="792" spans="1:1" x14ac:dyDescent="0.25">
      <c r="A792" s="11" t="s">
        <v>869</v>
      </c>
    </row>
    <row r="793" spans="1:1" x14ac:dyDescent="0.25">
      <c r="A793" s="11" t="s">
        <v>870</v>
      </c>
    </row>
    <row r="794" spans="1:1" x14ac:dyDescent="0.25">
      <c r="A794" s="11" t="s">
        <v>871</v>
      </c>
    </row>
    <row r="795" spans="1:1" x14ac:dyDescent="0.25">
      <c r="A795" s="11" t="s">
        <v>872</v>
      </c>
    </row>
    <row r="796" spans="1:1" x14ac:dyDescent="0.25">
      <c r="A796" s="11" t="s">
        <v>873</v>
      </c>
    </row>
    <row r="797" spans="1:1" x14ac:dyDescent="0.25">
      <c r="A797" s="11" t="s">
        <v>874</v>
      </c>
    </row>
    <row r="798" spans="1:1" x14ac:dyDescent="0.25">
      <c r="A798" s="11" t="s">
        <v>875</v>
      </c>
    </row>
    <row r="799" spans="1:1" x14ac:dyDescent="0.25">
      <c r="A799" s="11" t="s">
        <v>876</v>
      </c>
    </row>
    <row r="800" spans="1:1" x14ac:dyDescent="0.25">
      <c r="A800" s="11" t="s">
        <v>877</v>
      </c>
    </row>
    <row r="801" spans="1:1" x14ac:dyDescent="0.25">
      <c r="A801" s="11" t="s">
        <v>878</v>
      </c>
    </row>
    <row r="802" spans="1:1" x14ac:dyDescent="0.25">
      <c r="A802" s="11" t="s">
        <v>879</v>
      </c>
    </row>
    <row r="803" spans="1:1" x14ac:dyDescent="0.25">
      <c r="A803" s="11" t="s">
        <v>880</v>
      </c>
    </row>
    <row r="804" spans="1:1" x14ac:dyDescent="0.25">
      <c r="A804" s="11" t="s">
        <v>881</v>
      </c>
    </row>
    <row r="805" spans="1:1" x14ac:dyDescent="0.25">
      <c r="A805" s="11" t="s">
        <v>882</v>
      </c>
    </row>
    <row r="806" spans="1:1" x14ac:dyDescent="0.25">
      <c r="A806" s="11" t="s">
        <v>883</v>
      </c>
    </row>
    <row r="807" spans="1:1" x14ac:dyDescent="0.25">
      <c r="A807" s="11" t="s">
        <v>884</v>
      </c>
    </row>
    <row r="808" spans="1:1" x14ac:dyDescent="0.25">
      <c r="A808" s="11" t="s">
        <v>885</v>
      </c>
    </row>
    <row r="809" spans="1:1" x14ac:dyDescent="0.25">
      <c r="A809" s="11" t="s">
        <v>886</v>
      </c>
    </row>
    <row r="810" spans="1:1" x14ac:dyDescent="0.25">
      <c r="A810" s="11" t="s">
        <v>887</v>
      </c>
    </row>
    <row r="811" spans="1:1" x14ac:dyDescent="0.25">
      <c r="A811" s="11" t="s">
        <v>888</v>
      </c>
    </row>
    <row r="812" spans="1:1" x14ac:dyDescent="0.25">
      <c r="A812" s="11" t="s">
        <v>889</v>
      </c>
    </row>
    <row r="813" spans="1:1" x14ac:dyDescent="0.25">
      <c r="A813" s="11" t="s">
        <v>890</v>
      </c>
    </row>
    <row r="814" spans="1:1" x14ac:dyDescent="0.25">
      <c r="A814" s="11" t="s">
        <v>891</v>
      </c>
    </row>
    <row r="815" spans="1:1" x14ac:dyDescent="0.25">
      <c r="A815" s="11" t="s">
        <v>892</v>
      </c>
    </row>
    <row r="816" spans="1:1" x14ac:dyDescent="0.25">
      <c r="A816" s="11" t="s">
        <v>893</v>
      </c>
    </row>
    <row r="817" spans="1:1" x14ac:dyDescent="0.25">
      <c r="A817" s="11" t="s">
        <v>894</v>
      </c>
    </row>
    <row r="818" spans="1:1" x14ac:dyDescent="0.25">
      <c r="A818" s="11" t="s">
        <v>895</v>
      </c>
    </row>
    <row r="819" spans="1:1" x14ac:dyDescent="0.25">
      <c r="A819" s="11" t="s">
        <v>896</v>
      </c>
    </row>
    <row r="820" spans="1:1" x14ac:dyDescent="0.25">
      <c r="A820" s="11" t="s">
        <v>897</v>
      </c>
    </row>
    <row r="821" spans="1:1" x14ac:dyDescent="0.25">
      <c r="A821" s="11" t="s">
        <v>898</v>
      </c>
    </row>
    <row r="822" spans="1:1" x14ac:dyDescent="0.25">
      <c r="A822" s="11" t="s">
        <v>899</v>
      </c>
    </row>
    <row r="823" spans="1:1" x14ac:dyDescent="0.25">
      <c r="A823" s="11" t="s">
        <v>900</v>
      </c>
    </row>
    <row r="824" spans="1:1" x14ac:dyDescent="0.25">
      <c r="A824" s="11" t="s">
        <v>901</v>
      </c>
    </row>
    <row r="825" spans="1:1" x14ac:dyDescent="0.25">
      <c r="A825" s="11" t="s">
        <v>902</v>
      </c>
    </row>
    <row r="826" spans="1:1" x14ac:dyDescent="0.25">
      <c r="A826" s="11" t="s">
        <v>903</v>
      </c>
    </row>
    <row r="827" spans="1:1" x14ac:dyDescent="0.25">
      <c r="A827" s="11" t="s">
        <v>904</v>
      </c>
    </row>
    <row r="828" spans="1:1" x14ac:dyDescent="0.25">
      <c r="A828" s="11" t="s">
        <v>905</v>
      </c>
    </row>
    <row r="829" spans="1:1" x14ac:dyDescent="0.25">
      <c r="A829" s="11" t="s">
        <v>906</v>
      </c>
    </row>
    <row r="830" spans="1:1" x14ac:dyDescent="0.25">
      <c r="A830" s="11" t="s">
        <v>907</v>
      </c>
    </row>
    <row r="831" spans="1:1" x14ac:dyDescent="0.25">
      <c r="A831" s="11" t="s">
        <v>908</v>
      </c>
    </row>
    <row r="832" spans="1:1" x14ac:dyDescent="0.25">
      <c r="A832" s="11" t="s">
        <v>909</v>
      </c>
    </row>
    <row r="833" spans="1:1" x14ac:dyDescent="0.25">
      <c r="A833" s="11" t="s">
        <v>910</v>
      </c>
    </row>
    <row r="834" spans="1:1" x14ac:dyDescent="0.25">
      <c r="A834" s="11" t="s">
        <v>911</v>
      </c>
    </row>
    <row r="835" spans="1:1" x14ac:dyDescent="0.25">
      <c r="A835" s="11" t="s">
        <v>912</v>
      </c>
    </row>
    <row r="836" spans="1:1" x14ac:dyDescent="0.25">
      <c r="A836" s="11" t="s">
        <v>913</v>
      </c>
    </row>
    <row r="837" spans="1:1" x14ac:dyDescent="0.25">
      <c r="A837" s="11" t="s">
        <v>914</v>
      </c>
    </row>
    <row r="838" spans="1:1" x14ac:dyDescent="0.25">
      <c r="A838" s="11" t="s">
        <v>915</v>
      </c>
    </row>
    <row r="839" spans="1:1" x14ac:dyDescent="0.25">
      <c r="A839" s="11" t="s">
        <v>916</v>
      </c>
    </row>
    <row r="840" spans="1:1" x14ac:dyDescent="0.25">
      <c r="A840" s="11" t="s">
        <v>917</v>
      </c>
    </row>
    <row r="841" spans="1:1" x14ac:dyDescent="0.25">
      <c r="A841" s="11" t="s">
        <v>918</v>
      </c>
    </row>
    <row r="842" spans="1:1" x14ac:dyDescent="0.25">
      <c r="A842" s="11" t="s">
        <v>919</v>
      </c>
    </row>
    <row r="843" spans="1:1" x14ac:dyDescent="0.25">
      <c r="A843" s="11" t="s">
        <v>920</v>
      </c>
    </row>
    <row r="844" spans="1:1" x14ac:dyDescent="0.25">
      <c r="A844" s="11" t="s">
        <v>921</v>
      </c>
    </row>
    <row r="845" spans="1:1" x14ac:dyDescent="0.25">
      <c r="A845" s="11" t="s">
        <v>922</v>
      </c>
    </row>
    <row r="846" spans="1:1" x14ac:dyDescent="0.25">
      <c r="A846" s="11" t="s">
        <v>923</v>
      </c>
    </row>
    <row r="847" spans="1:1" x14ac:dyDescent="0.25">
      <c r="A847" s="11" t="s">
        <v>924</v>
      </c>
    </row>
    <row r="848" spans="1:1" x14ac:dyDescent="0.25">
      <c r="A848" s="11" t="s">
        <v>925</v>
      </c>
    </row>
    <row r="849" spans="1:1" x14ac:dyDescent="0.25">
      <c r="A849" s="11" t="s">
        <v>926</v>
      </c>
    </row>
    <row r="850" spans="1:1" x14ac:dyDescent="0.25">
      <c r="A850" s="11" t="s">
        <v>927</v>
      </c>
    </row>
    <row r="851" spans="1:1" x14ac:dyDescent="0.25">
      <c r="A851" s="11" t="s">
        <v>928</v>
      </c>
    </row>
    <row r="852" spans="1:1" x14ac:dyDescent="0.25">
      <c r="A852" s="11" t="s">
        <v>929</v>
      </c>
    </row>
    <row r="853" spans="1:1" x14ac:dyDescent="0.25">
      <c r="A853" s="11" t="s">
        <v>930</v>
      </c>
    </row>
    <row r="854" spans="1:1" x14ac:dyDescent="0.25">
      <c r="A854" s="11" t="s">
        <v>931</v>
      </c>
    </row>
    <row r="855" spans="1:1" x14ac:dyDescent="0.25">
      <c r="A855" s="11" t="s">
        <v>932</v>
      </c>
    </row>
    <row r="856" spans="1:1" x14ac:dyDescent="0.25">
      <c r="A856" s="11" t="s">
        <v>933</v>
      </c>
    </row>
    <row r="857" spans="1:1" x14ac:dyDescent="0.25">
      <c r="A857" s="11" t="s">
        <v>934</v>
      </c>
    </row>
    <row r="858" spans="1:1" x14ac:dyDescent="0.25">
      <c r="A858" s="11" t="s">
        <v>935</v>
      </c>
    </row>
    <row r="859" spans="1:1" x14ac:dyDescent="0.25">
      <c r="A859" s="11" t="s">
        <v>936</v>
      </c>
    </row>
    <row r="860" spans="1:1" x14ac:dyDescent="0.25">
      <c r="A860" s="11" t="s">
        <v>937</v>
      </c>
    </row>
    <row r="861" spans="1:1" x14ac:dyDescent="0.25">
      <c r="A861" s="11" t="s">
        <v>938</v>
      </c>
    </row>
    <row r="862" spans="1:1" x14ac:dyDescent="0.25">
      <c r="A862" s="11" t="s">
        <v>939</v>
      </c>
    </row>
    <row r="863" spans="1:1" x14ac:dyDescent="0.25">
      <c r="A863" s="11" t="s">
        <v>940</v>
      </c>
    </row>
    <row r="864" spans="1:1" x14ac:dyDescent="0.25">
      <c r="A864" s="11" t="s">
        <v>941</v>
      </c>
    </row>
    <row r="865" spans="1:1" x14ac:dyDescent="0.25">
      <c r="A865" s="11" t="s">
        <v>942</v>
      </c>
    </row>
    <row r="866" spans="1:1" x14ac:dyDescent="0.25">
      <c r="A866" s="11" t="s">
        <v>943</v>
      </c>
    </row>
    <row r="867" spans="1:1" x14ac:dyDescent="0.25">
      <c r="A867" s="11" t="s">
        <v>944</v>
      </c>
    </row>
    <row r="868" spans="1:1" x14ac:dyDescent="0.25">
      <c r="A868" s="11" t="s">
        <v>945</v>
      </c>
    </row>
    <row r="869" spans="1:1" x14ac:dyDescent="0.25">
      <c r="A869" s="11" t="s">
        <v>946</v>
      </c>
    </row>
    <row r="870" spans="1:1" x14ac:dyDescent="0.25">
      <c r="A870" s="11" t="s">
        <v>947</v>
      </c>
    </row>
    <row r="871" spans="1:1" x14ac:dyDescent="0.25">
      <c r="A871" s="11" t="s">
        <v>948</v>
      </c>
    </row>
    <row r="872" spans="1:1" x14ac:dyDescent="0.25">
      <c r="A872" s="11" t="s">
        <v>949</v>
      </c>
    </row>
    <row r="873" spans="1:1" x14ac:dyDescent="0.25">
      <c r="A873" s="11" t="s">
        <v>950</v>
      </c>
    </row>
    <row r="874" spans="1:1" x14ac:dyDescent="0.25">
      <c r="A874" s="11" t="s">
        <v>951</v>
      </c>
    </row>
    <row r="875" spans="1:1" x14ac:dyDescent="0.25">
      <c r="A875" s="11" t="s">
        <v>952</v>
      </c>
    </row>
    <row r="876" spans="1:1" x14ac:dyDescent="0.25">
      <c r="A876" s="11" t="s">
        <v>953</v>
      </c>
    </row>
    <row r="877" spans="1:1" x14ac:dyDescent="0.25">
      <c r="A877" s="11" t="s">
        <v>954</v>
      </c>
    </row>
    <row r="878" spans="1:1" x14ac:dyDescent="0.25">
      <c r="A878" s="11" t="s">
        <v>955</v>
      </c>
    </row>
    <row r="879" spans="1:1" x14ac:dyDescent="0.25">
      <c r="A879" s="11" t="s">
        <v>956</v>
      </c>
    </row>
    <row r="880" spans="1:1" x14ac:dyDescent="0.25">
      <c r="A880" s="11" t="s">
        <v>957</v>
      </c>
    </row>
    <row r="881" spans="1:1" x14ac:dyDescent="0.25">
      <c r="A881" s="11" t="s">
        <v>958</v>
      </c>
    </row>
    <row r="882" spans="1:1" x14ac:dyDescent="0.25">
      <c r="A882" s="11" t="s">
        <v>959</v>
      </c>
    </row>
    <row r="883" spans="1:1" x14ac:dyDescent="0.25">
      <c r="A883" s="11" t="s">
        <v>960</v>
      </c>
    </row>
    <row r="884" spans="1:1" x14ac:dyDescent="0.25">
      <c r="A884" s="11" t="s">
        <v>961</v>
      </c>
    </row>
    <row r="885" spans="1:1" x14ac:dyDescent="0.25">
      <c r="A885" s="11" t="s">
        <v>962</v>
      </c>
    </row>
    <row r="886" spans="1:1" x14ac:dyDescent="0.25">
      <c r="A886" s="11" t="s">
        <v>963</v>
      </c>
    </row>
    <row r="887" spans="1:1" x14ac:dyDescent="0.25">
      <c r="A887" s="11" t="s">
        <v>964</v>
      </c>
    </row>
    <row r="888" spans="1:1" x14ac:dyDescent="0.25">
      <c r="A888" s="11" t="s">
        <v>965</v>
      </c>
    </row>
    <row r="889" spans="1:1" x14ac:dyDescent="0.25">
      <c r="A889" s="11" t="s">
        <v>966</v>
      </c>
    </row>
    <row r="890" spans="1:1" x14ac:dyDescent="0.25">
      <c r="A890" s="11" t="s">
        <v>967</v>
      </c>
    </row>
    <row r="891" spans="1:1" x14ac:dyDescent="0.25">
      <c r="A891" s="11" t="s">
        <v>968</v>
      </c>
    </row>
    <row r="892" spans="1:1" x14ac:dyDescent="0.25">
      <c r="A892" s="11" t="s">
        <v>969</v>
      </c>
    </row>
    <row r="893" spans="1:1" x14ac:dyDescent="0.25">
      <c r="A893" s="11" t="s">
        <v>970</v>
      </c>
    </row>
    <row r="894" spans="1:1" x14ac:dyDescent="0.25">
      <c r="A894" s="11" t="s">
        <v>971</v>
      </c>
    </row>
    <row r="895" spans="1:1" x14ac:dyDescent="0.25">
      <c r="A895" s="11" t="s">
        <v>972</v>
      </c>
    </row>
    <row r="896" spans="1:1" x14ac:dyDescent="0.25">
      <c r="A896" s="11" t="s">
        <v>973</v>
      </c>
    </row>
    <row r="897" spans="1:1" x14ac:dyDescent="0.25">
      <c r="A897" s="11" t="s">
        <v>974</v>
      </c>
    </row>
    <row r="898" spans="1:1" x14ac:dyDescent="0.25">
      <c r="A898" s="11" t="s">
        <v>975</v>
      </c>
    </row>
    <row r="899" spans="1:1" x14ac:dyDescent="0.25">
      <c r="A899" s="11" t="s">
        <v>976</v>
      </c>
    </row>
    <row r="900" spans="1:1" x14ac:dyDescent="0.25">
      <c r="A900" s="11" t="s">
        <v>977</v>
      </c>
    </row>
    <row r="901" spans="1:1" x14ac:dyDescent="0.25">
      <c r="A901" s="11" t="s">
        <v>978</v>
      </c>
    </row>
    <row r="902" spans="1:1" x14ac:dyDescent="0.25">
      <c r="A902" s="11" t="s">
        <v>979</v>
      </c>
    </row>
    <row r="903" spans="1:1" x14ac:dyDescent="0.25">
      <c r="A903" s="11" t="s">
        <v>980</v>
      </c>
    </row>
    <row r="904" spans="1:1" x14ac:dyDescent="0.25">
      <c r="A904" s="11" t="s">
        <v>981</v>
      </c>
    </row>
    <row r="905" spans="1:1" x14ac:dyDescent="0.25">
      <c r="A905" s="11" t="s">
        <v>982</v>
      </c>
    </row>
    <row r="906" spans="1:1" x14ac:dyDescent="0.25">
      <c r="A906" s="11" t="s">
        <v>983</v>
      </c>
    </row>
    <row r="907" spans="1:1" x14ac:dyDescent="0.25">
      <c r="A907" s="11" t="s">
        <v>984</v>
      </c>
    </row>
    <row r="908" spans="1:1" x14ac:dyDescent="0.25">
      <c r="A908" s="11" t="s">
        <v>985</v>
      </c>
    </row>
    <row r="909" spans="1:1" x14ac:dyDescent="0.25">
      <c r="A909" s="11" t="s">
        <v>986</v>
      </c>
    </row>
    <row r="910" spans="1:1" x14ac:dyDescent="0.25">
      <c r="A910" s="11" t="s">
        <v>987</v>
      </c>
    </row>
    <row r="911" spans="1:1" x14ac:dyDescent="0.25">
      <c r="A911" s="11" t="s">
        <v>988</v>
      </c>
    </row>
    <row r="912" spans="1:1" x14ac:dyDescent="0.25">
      <c r="A912" s="11" t="s">
        <v>989</v>
      </c>
    </row>
    <row r="913" spans="1:1" x14ac:dyDescent="0.25">
      <c r="A913" s="11" t="s">
        <v>990</v>
      </c>
    </row>
    <row r="914" spans="1:1" x14ac:dyDescent="0.25">
      <c r="A914" s="11" t="s">
        <v>991</v>
      </c>
    </row>
    <row r="915" spans="1:1" x14ac:dyDescent="0.25">
      <c r="A915" s="11" t="s">
        <v>992</v>
      </c>
    </row>
    <row r="916" spans="1:1" x14ac:dyDescent="0.25">
      <c r="A916" s="11" t="s">
        <v>993</v>
      </c>
    </row>
    <row r="917" spans="1:1" x14ac:dyDescent="0.25">
      <c r="A917" s="11" t="s">
        <v>994</v>
      </c>
    </row>
    <row r="918" spans="1:1" x14ac:dyDescent="0.25">
      <c r="A918" s="11" t="s">
        <v>995</v>
      </c>
    </row>
    <row r="919" spans="1:1" x14ac:dyDescent="0.25">
      <c r="A919" s="11" t="s">
        <v>996</v>
      </c>
    </row>
    <row r="920" spans="1:1" x14ac:dyDescent="0.25">
      <c r="A920" s="11" t="s">
        <v>997</v>
      </c>
    </row>
    <row r="921" spans="1:1" x14ac:dyDescent="0.25">
      <c r="A921" s="11" t="s">
        <v>998</v>
      </c>
    </row>
    <row r="922" spans="1:1" x14ac:dyDescent="0.25">
      <c r="A922" s="11" t="s">
        <v>999</v>
      </c>
    </row>
    <row r="923" spans="1:1" x14ac:dyDescent="0.25">
      <c r="A923" s="11" t="s">
        <v>1000</v>
      </c>
    </row>
    <row r="924" spans="1:1" x14ac:dyDescent="0.25">
      <c r="A924" s="11" t="s">
        <v>1001</v>
      </c>
    </row>
    <row r="925" spans="1:1" x14ac:dyDescent="0.25">
      <c r="A925" s="11" t="s">
        <v>1002</v>
      </c>
    </row>
    <row r="926" spans="1:1" x14ac:dyDescent="0.25">
      <c r="A926" s="11" t="s">
        <v>1003</v>
      </c>
    </row>
    <row r="927" spans="1:1" x14ac:dyDescent="0.25">
      <c r="A927" s="11" t="s">
        <v>1004</v>
      </c>
    </row>
    <row r="928" spans="1:1" x14ac:dyDescent="0.25">
      <c r="A928" s="11" t="s">
        <v>1005</v>
      </c>
    </row>
    <row r="929" spans="1:1" x14ac:dyDescent="0.25">
      <c r="A929" s="11" t="s">
        <v>1006</v>
      </c>
    </row>
    <row r="930" spans="1:1" x14ac:dyDescent="0.25">
      <c r="A930" s="11" t="s">
        <v>1007</v>
      </c>
    </row>
    <row r="931" spans="1:1" x14ac:dyDescent="0.25">
      <c r="A931" s="11" t="s">
        <v>1008</v>
      </c>
    </row>
    <row r="932" spans="1:1" x14ac:dyDescent="0.25">
      <c r="A932" s="11" t="s">
        <v>1009</v>
      </c>
    </row>
    <row r="933" spans="1:1" x14ac:dyDescent="0.25">
      <c r="A933" s="11" t="s">
        <v>1010</v>
      </c>
    </row>
    <row r="934" spans="1:1" x14ac:dyDescent="0.25">
      <c r="A934" s="11" t="s">
        <v>1011</v>
      </c>
    </row>
    <row r="935" spans="1:1" x14ac:dyDescent="0.25">
      <c r="A935" s="11" t="s">
        <v>1012</v>
      </c>
    </row>
    <row r="936" spans="1:1" x14ac:dyDescent="0.25">
      <c r="A936" s="11" t="s">
        <v>1013</v>
      </c>
    </row>
    <row r="937" spans="1:1" x14ac:dyDescent="0.25">
      <c r="A937" s="11" t="s">
        <v>1014</v>
      </c>
    </row>
    <row r="938" spans="1:1" x14ac:dyDescent="0.25">
      <c r="A938" s="11" t="s">
        <v>1015</v>
      </c>
    </row>
    <row r="939" spans="1:1" x14ac:dyDescent="0.25">
      <c r="A939" s="11" t="s">
        <v>1016</v>
      </c>
    </row>
    <row r="940" spans="1:1" x14ac:dyDescent="0.25">
      <c r="A940" s="11" t="s">
        <v>1017</v>
      </c>
    </row>
    <row r="941" spans="1:1" x14ac:dyDescent="0.25">
      <c r="A941" s="11" t="s">
        <v>1018</v>
      </c>
    </row>
    <row r="942" spans="1:1" x14ac:dyDescent="0.25">
      <c r="A942" s="11" t="s">
        <v>1019</v>
      </c>
    </row>
    <row r="943" spans="1:1" x14ac:dyDescent="0.25">
      <c r="A943" s="11" t="s">
        <v>1020</v>
      </c>
    </row>
    <row r="944" spans="1:1" x14ac:dyDescent="0.25">
      <c r="A944" s="11" t="s">
        <v>1021</v>
      </c>
    </row>
    <row r="945" spans="1:1" x14ac:dyDescent="0.25">
      <c r="A945" s="11" t="s">
        <v>1022</v>
      </c>
    </row>
    <row r="946" spans="1:1" x14ac:dyDescent="0.25">
      <c r="A946" s="11" t="s">
        <v>1023</v>
      </c>
    </row>
    <row r="947" spans="1:1" x14ac:dyDescent="0.25">
      <c r="A947" s="11" t="s">
        <v>1024</v>
      </c>
    </row>
    <row r="948" spans="1:1" x14ac:dyDescent="0.25">
      <c r="A948" s="11" t="s">
        <v>1025</v>
      </c>
    </row>
    <row r="949" spans="1:1" x14ac:dyDescent="0.25">
      <c r="A949" s="11" t="s">
        <v>1026</v>
      </c>
    </row>
    <row r="950" spans="1:1" x14ac:dyDescent="0.25">
      <c r="A950" s="11" t="s">
        <v>1027</v>
      </c>
    </row>
    <row r="951" spans="1:1" x14ac:dyDescent="0.25">
      <c r="A951" s="11" t="s">
        <v>1028</v>
      </c>
    </row>
    <row r="952" spans="1:1" x14ac:dyDescent="0.25">
      <c r="A952" s="11" t="s">
        <v>1029</v>
      </c>
    </row>
    <row r="953" spans="1:1" x14ac:dyDescent="0.25">
      <c r="A953" s="11" t="s">
        <v>1030</v>
      </c>
    </row>
    <row r="954" spans="1:1" x14ac:dyDescent="0.25">
      <c r="A954" s="11" t="s">
        <v>1031</v>
      </c>
    </row>
    <row r="955" spans="1:1" x14ac:dyDescent="0.25">
      <c r="A955" s="11" t="s">
        <v>1032</v>
      </c>
    </row>
    <row r="956" spans="1:1" x14ac:dyDescent="0.25">
      <c r="A956" s="11" t="s">
        <v>1033</v>
      </c>
    </row>
    <row r="957" spans="1:1" x14ac:dyDescent="0.25">
      <c r="A957" s="11" t="s">
        <v>1034</v>
      </c>
    </row>
    <row r="958" spans="1:1" x14ac:dyDescent="0.25">
      <c r="A958" s="11" t="s">
        <v>1035</v>
      </c>
    </row>
    <row r="959" spans="1:1" x14ac:dyDescent="0.25">
      <c r="A959" s="11" t="s">
        <v>1036</v>
      </c>
    </row>
    <row r="960" spans="1:1" x14ac:dyDescent="0.25">
      <c r="A960" s="11" t="s">
        <v>1037</v>
      </c>
    </row>
    <row r="961" spans="1:1" x14ac:dyDescent="0.25">
      <c r="A961" s="11" t="s">
        <v>1038</v>
      </c>
    </row>
    <row r="962" spans="1:1" x14ac:dyDescent="0.25">
      <c r="A962" s="11" t="s">
        <v>1039</v>
      </c>
    </row>
    <row r="963" spans="1:1" x14ac:dyDescent="0.25">
      <c r="A963" s="11" t="s">
        <v>1040</v>
      </c>
    </row>
    <row r="964" spans="1:1" x14ac:dyDescent="0.25">
      <c r="A964" s="11" t="s">
        <v>1041</v>
      </c>
    </row>
    <row r="965" spans="1:1" x14ac:dyDescent="0.25">
      <c r="A965" s="11" t="s">
        <v>1042</v>
      </c>
    </row>
    <row r="966" spans="1:1" x14ac:dyDescent="0.25">
      <c r="A966" s="11" t="s">
        <v>1043</v>
      </c>
    </row>
    <row r="967" spans="1:1" x14ac:dyDescent="0.25">
      <c r="A967" s="11" t="s">
        <v>1044</v>
      </c>
    </row>
    <row r="968" spans="1:1" x14ac:dyDescent="0.25">
      <c r="A968" s="11" t="s">
        <v>1045</v>
      </c>
    </row>
    <row r="969" spans="1:1" x14ac:dyDescent="0.25">
      <c r="A969" s="11" t="s">
        <v>1046</v>
      </c>
    </row>
    <row r="970" spans="1:1" x14ac:dyDescent="0.25">
      <c r="A970" s="11" t="s">
        <v>1047</v>
      </c>
    </row>
    <row r="971" spans="1:1" x14ac:dyDescent="0.25">
      <c r="A971" s="11" t="s">
        <v>1048</v>
      </c>
    </row>
    <row r="972" spans="1:1" x14ac:dyDescent="0.25">
      <c r="A972" s="11" t="s">
        <v>1049</v>
      </c>
    </row>
    <row r="973" spans="1:1" x14ac:dyDescent="0.25">
      <c r="A973" s="11" t="s">
        <v>1050</v>
      </c>
    </row>
    <row r="974" spans="1:1" x14ac:dyDescent="0.25">
      <c r="A974" s="11" t="s">
        <v>1051</v>
      </c>
    </row>
    <row r="975" spans="1:1" x14ac:dyDescent="0.25">
      <c r="A975" s="11" t="s">
        <v>1052</v>
      </c>
    </row>
    <row r="976" spans="1:1" x14ac:dyDescent="0.25">
      <c r="A976" s="11" t="s">
        <v>1053</v>
      </c>
    </row>
    <row r="977" spans="1:1" x14ac:dyDescent="0.25">
      <c r="A977" s="11" t="s">
        <v>1054</v>
      </c>
    </row>
    <row r="978" spans="1:1" x14ac:dyDescent="0.25">
      <c r="A978" s="11" t="s">
        <v>1055</v>
      </c>
    </row>
    <row r="979" spans="1:1" x14ac:dyDescent="0.25">
      <c r="A979" s="11" t="s">
        <v>1056</v>
      </c>
    </row>
    <row r="980" spans="1:1" x14ac:dyDescent="0.25">
      <c r="A980" s="11" t="s">
        <v>1057</v>
      </c>
    </row>
    <row r="981" spans="1:1" x14ac:dyDescent="0.25">
      <c r="A981" s="11" t="s">
        <v>1058</v>
      </c>
    </row>
    <row r="982" spans="1:1" x14ac:dyDescent="0.25">
      <c r="A982" s="11" t="s">
        <v>1059</v>
      </c>
    </row>
    <row r="983" spans="1:1" x14ac:dyDescent="0.25">
      <c r="A983" s="11" t="s">
        <v>1060</v>
      </c>
    </row>
    <row r="984" spans="1:1" x14ac:dyDescent="0.25">
      <c r="A984" s="11" t="s">
        <v>1061</v>
      </c>
    </row>
    <row r="985" spans="1:1" x14ac:dyDescent="0.25">
      <c r="A985" s="11" t="s">
        <v>1062</v>
      </c>
    </row>
    <row r="986" spans="1:1" x14ac:dyDescent="0.25">
      <c r="A986" s="11" t="s">
        <v>1063</v>
      </c>
    </row>
    <row r="987" spans="1:1" x14ac:dyDescent="0.25">
      <c r="A987" s="11" t="s">
        <v>1064</v>
      </c>
    </row>
    <row r="988" spans="1:1" x14ac:dyDescent="0.25">
      <c r="A988" s="11" t="s">
        <v>1065</v>
      </c>
    </row>
    <row r="989" spans="1:1" x14ac:dyDescent="0.25">
      <c r="A989" s="11" t="s">
        <v>1066</v>
      </c>
    </row>
    <row r="990" spans="1:1" x14ac:dyDescent="0.25">
      <c r="A990" s="11" t="s">
        <v>1067</v>
      </c>
    </row>
    <row r="991" spans="1:1" x14ac:dyDescent="0.25">
      <c r="A991" s="11" t="s">
        <v>1068</v>
      </c>
    </row>
    <row r="992" spans="1:1" x14ac:dyDescent="0.25">
      <c r="A992" s="11" t="s">
        <v>1069</v>
      </c>
    </row>
    <row r="993" spans="1:1" x14ac:dyDescent="0.25">
      <c r="A993" s="11" t="s">
        <v>1070</v>
      </c>
    </row>
    <row r="994" spans="1:1" x14ac:dyDescent="0.25">
      <c r="A994" s="11" t="s">
        <v>1071</v>
      </c>
    </row>
    <row r="995" spans="1:1" x14ac:dyDescent="0.25">
      <c r="A995" s="11" t="s">
        <v>1072</v>
      </c>
    </row>
    <row r="996" spans="1:1" x14ac:dyDescent="0.25">
      <c r="A996" s="11" t="s">
        <v>1073</v>
      </c>
    </row>
    <row r="997" spans="1:1" x14ac:dyDescent="0.25">
      <c r="A997" s="11" t="s">
        <v>1074</v>
      </c>
    </row>
    <row r="998" spans="1:1" x14ac:dyDescent="0.25">
      <c r="A998" s="11" t="s">
        <v>1075</v>
      </c>
    </row>
    <row r="999" spans="1:1" x14ac:dyDescent="0.25">
      <c r="A999" s="11" t="s">
        <v>1076</v>
      </c>
    </row>
    <row r="1000" spans="1:1" x14ac:dyDescent="0.25">
      <c r="A1000" s="11" t="s">
        <v>1077</v>
      </c>
    </row>
    <row r="1001" spans="1:1" x14ac:dyDescent="0.25">
      <c r="A1001" s="11" t="s">
        <v>1078</v>
      </c>
    </row>
    <row r="1002" spans="1:1" x14ac:dyDescent="0.25">
      <c r="A1002" s="11" t="s">
        <v>1079</v>
      </c>
    </row>
    <row r="1003" spans="1:1" x14ac:dyDescent="0.25">
      <c r="A1003" s="11" t="s">
        <v>1080</v>
      </c>
    </row>
    <row r="1004" spans="1:1" x14ac:dyDescent="0.25">
      <c r="A1004" s="11" t="s">
        <v>1081</v>
      </c>
    </row>
    <row r="1005" spans="1:1" x14ac:dyDescent="0.25">
      <c r="A1005" s="11" t="s">
        <v>1082</v>
      </c>
    </row>
    <row r="1006" spans="1:1" x14ac:dyDescent="0.25">
      <c r="A1006" s="11" t="s">
        <v>1083</v>
      </c>
    </row>
    <row r="1007" spans="1:1" x14ac:dyDescent="0.25">
      <c r="A1007" s="11" t="s">
        <v>1084</v>
      </c>
    </row>
    <row r="1008" spans="1:1" x14ac:dyDescent="0.25">
      <c r="A1008" s="11" t="s">
        <v>1085</v>
      </c>
    </row>
    <row r="1009" spans="1:1" x14ac:dyDescent="0.25">
      <c r="A1009" s="11" t="s">
        <v>1086</v>
      </c>
    </row>
    <row r="1010" spans="1:1" x14ac:dyDescent="0.25">
      <c r="A1010" s="11" t="s">
        <v>1087</v>
      </c>
    </row>
    <row r="1011" spans="1:1" x14ac:dyDescent="0.25">
      <c r="A1011" s="11" t="s">
        <v>1088</v>
      </c>
    </row>
    <row r="1012" spans="1:1" x14ac:dyDescent="0.25">
      <c r="A1012" s="11" t="s">
        <v>1089</v>
      </c>
    </row>
    <row r="1013" spans="1:1" x14ac:dyDescent="0.25">
      <c r="A1013" s="11" t="s">
        <v>1090</v>
      </c>
    </row>
    <row r="1014" spans="1:1" x14ac:dyDescent="0.25">
      <c r="A1014" s="11" t="s">
        <v>1091</v>
      </c>
    </row>
    <row r="1015" spans="1:1" x14ac:dyDescent="0.25">
      <c r="A1015" s="11" t="s">
        <v>1092</v>
      </c>
    </row>
    <row r="1016" spans="1:1" x14ac:dyDescent="0.25">
      <c r="A1016" s="11" t="s">
        <v>1093</v>
      </c>
    </row>
    <row r="1017" spans="1:1" x14ac:dyDescent="0.25">
      <c r="A1017" s="11" t="s">
        <v>1094</v>
      </c>
    </row>
    <row r="1018" spans="1:1" x14ac:dyDescent="0.25">
      <c r="A1018" s="11" t="s">
        <v>1095</v>
      </c>
    </row>
    <row r="1019" spans="1:1" x14ac:dyDescent="0.25">
      <c r="A1019" s="11" t="s">
        <v>1096</v>
      </c>
    </row>
    <row r="1020" spans="1:1" x14ac:dyDescent="0.25">
      <c r="A1020" s="11" t="s">
        <v>1097</v>
      </c>
    </row>
    <row r="1021" spans="1:1" x14ac:dyDescent="0.25">
      <c r="A1021" s="11" t="s">
        <v>1098</v>
      </c>
    </row>
    <row r="1022" spans="1:1" x14ac:dyDescent="0.25">
      <c r="A1022" s="11" t="s">
        <v>1099</v>
      </c>
    </row>
    <row r="1023" spans="1:1" x14ac:dyDescent="0.25">
      <c r="A1023" s="11" t="s">
        <v>1100</v>
      </c>
    </row>
    <row r="1024" spans="1:1" x14ac:dyDescent="0.25">
      <c r="A1024" s="11" t="s">
        <v>1101</v>
      </c>
    </row>
    <row r="1025" spans="1:1" x14ac:dyDescent="0.25">
      <c r="A1025" s="11" t="s">
        <v>1102</v>
      </c>
    </row>
    <row r="1026" spans="1:1" x14ac:dyDescent="0.25">
      <c r="A1026" s="11" t="s">
        <v>1103</v>
      </c>
    </row>
    <row r="1027" spans="1:1" x14ac:dyDescent="0.25">
      <c r="A1027" s="11" t="s">
        <v>1104</v>
      </c>
    </row>
    <row r="1028" spans="1:1" x14ac:dyDescent="0.25">
      <c r="A1028" s="11" t="s">
        <v>1105</v>
      </c>
    </row>
    <row r="1029" spans="1:1" x14ac:dyDescent="0.25">
      <c r="A1029" s="11" t="s">
        <v>1106</v>
      </c>
    </row>
    <row r="1030" spans="1:1" x14ac:dyDescent="0.25">
      <c r="A1030" s="11" t="s">
        <v>1107</v>
      </c>
    </row>
    <row r="1031" spans="1:1" x14ac:dyDescent="0.25">
      <c r="A1031" s="11" t="s">
        <v>1108</v>
      </c>
    </row>
    <row r="1032" spans="1:1" x14ac:dyDescent="0.25">
      <c r="A1032" s="11" t="s">
        <v>1109</v>
      </c>
    </row>
    <row r="1033" spans="1:1" x14ac:dyDescent="0.25">
      <c r="A1033" s="11" t="s">
        <v>1110</v>
      </c>
    </row>
    <row r="1034" spans="1:1" x14ac:dyDescent="0.25">
      <c r="A1034" s="11" t="s">
        <v>1111</v>
      </c>
    </row>
    <row r="1035" spans="1:1" x14ac:dyDescent="0.25">
      <c r="A1035" s="11" t="s">
        <v>1112</v>
      </c>
    </row>
    <row r="1036" spans="1:1" x14ac:dyDescent="0.25">
      <c r="A1036" s="11" t="s">
        <v>1113</v>
      </c>
    </row>
    <row r="1037" spans="1:1" x14ac:dyDescent="0.25">
      <c r="A1037" s="11" t="s">
        <v>1114</v>
      </c>
    </row>
    <row r="1038" spans="1:1" x14ac:dyDescent="0.25">
      <c r="A1038" s="11" t="s">
        <v>1115</v>
      </c>
    </row>
    <row r="1039" spans="1:1" x14ac:dyDescent="0.25">
      <c r="A1039" s="11" t="s">
        <v>1116</v>
      </c>
    </row>
    <row r="1040" spans="1:1" x14ac:dyDescent="0.25">
      <c r="A1040" s="11" t="s">
        <v>1117</v>
      </c>
    </row>
    <row r="1041" spans="1:1" x14ac:dyDescent="0.25">
      <c r="A1041" s="11" t="s">
        <v>1118</v>
      </c>
    </row>
    <row r="1042" spans="1:1" x14ac:dyDescent="0.25">
      <c r="A1042" s="11" t="s">
        <v>1119</v>
      </c>
    </row>
    <row r="1043" spans="1:1" x14ac:dyDescent="0.25">
      <c r="A1043" s="11" t="s">
        <v>1120</v>
      </c>
    </row>
    <row r="1044" spans="1:1" x14ac:dyDescent="0.25">
      <c r="A1044" s="11" t="s">
        <v>1121</v>
      </c>
    </row>
    <row r="1045" spans="1:1" x14ac:dyDescent="0.25">
      <c r="A1045" s="11" t="s">
        <v>1122</v>
      </c>
    </row>
    <row r="1046" spans="1:1" x14ac:dyDescent="0.25">
      <c r="A1046" s="11" t="s">
        <v>1123</v>
      </c>
    </row>
    <row r="1047" spans="1:1" x14ac:dyDescent="0.25">
      <c r="A1047" s="11" t="s">
        <v>1124</v>
      </c>
    </row>
    <row r="1048" spans="1:1" x14ac:dyDescent="0.25">
      <c r="A1048" s="11" t="s">
        <v>1125</v>
      </c>
    </row>
    <row r="1049" spans="1:1" x14ac:dyDescent="0.25">
      <c r="A1049" s="11" t="s">
        <v>1126</v>
      </c>
    </row>
    <row r="1050" spans="1:1" x14ac:dyDescent="0.25">
      <c r="A1050" s="11" t="s">
        <v>1127</v>
      </c>
    </row>
    <row r="1051" spans="1:1" x14ac:dyDescent="0.25">
      <c r="A1051" s="11" t="s">
        <v>1128</v>
      </c>
    </row>
    <row r="1052" spans="1:1" x14ac:dyDescent="0.25">
      <c r="A1052" s="11" t="s">
        <v>1129</v>
      </c>
    </row>
    <row r="1053" spans="1:1" x14ac:dyDescent="0.25">
      <c r="A1053" s="11" t="s">
        <v>1130</v>
      </c>
    </row>
    <row r="1054" spans="1:1" x14ac:dyDescent="0.25">
      <c r="A1054" s="11" t="s">
        <v>1131</v>
      </c>
    </row>
    <row r="1055" spans="1:1" x14ac:dyDescent="0.25">
      <c r="A1055" s="11" t="s">
        <v>1132</v>
      </c>
    </row>
    <row r="1056" spans="1:1" x14ac:dyDescent="0.25">
      <c r="A1056" s="11" t="s">
        <v>1133</v>
      </c>
    </row>
    <row r="1057" spans="1:1" x14ac:dyDescent="0.25">
      <c r="A1057" s="11" t="s">
        <v>1134</v>
      </c>
    </row>
    <row r="1058" spans="1:1" x14ac:dyDescent="0.25">
      <c r="A1058" s="11" t="s">
        <v>1135</v>
      </c>
    </row>
    <row r="1059" spans="1:1" x14ac:dyDescent="0.25">
      <c r="A1059" s="11" t="s">
        <v>1136</v>
      </c>
    </row>
    <row r="1060" spans="1:1" x14ac:dyDescent="0.25">
      <c r="A1060" s="11" t="s">
        <v>1137</v>
      </c>
    </row>
    <row r="1061" spans="1:1" x14ac:dyDescent="0.25">
      <c r="A1061" s="11" t="s">
        <v>1138</v>
      </c>
    </row>
    <row r="1062" spans="1:1" x14ac:dyDescent="0.25">
      <c r="A1062" s="11" t="s">
        <v>1139</v>
      </c>
    </row>
    <row r="1063" spans="1:1" x14ac:dyDescent="0.25">
      <c r="A1063" s="11" t="s">
        <v>1140</v>
      </c>
    </row>
    <row r="1064" spans="1:1" x14ac:dyDescent="0.25">
      <c r="A1064" s="11" t="s">
        <v>1141</v>
      </c>
    </row>
    <row r="1065" spans="1:1" x14ac:dyDescent="0.25">
      <c r="A1065" s="11" t="s">
        <v>1142</v>
      </c>
    </row>
    <row r="1066" spans="1:1" x14ac:dyDescent="0.25">
      <c r="A1066" s="11" t="s">
        <v>1143</v>
      </c>
    </row>
    <row r="1067" spans="1:1" x14ac:dyDescent="0.25">
      <c r="A1067" s="11" t="s">
        <v>1144</v>
      </c>
    </row>
    <row r="1068" spans="1:1" x14ac:dyDescent="0.25">
      <c r="A1068" s="11" t="s">
        <v>1145</v>
      </c>
    </row>
    <row r="1069" spans="1:1" x14ac:dyDescent="0.25">
      <c r="A1069" s="11" t="s">
        <v>1146</v>
      </c>
    </row>
    <row r="1070" spans="1:1" x14ac:dyDescent="0.25">
      <c r="A1070" s="11" t="s">
        <v>1147</v>
      </c>
    </row>
    <row r="1071" spans="1:1" x14ac:dyDescent="0.25">
      <c r="A1071" s="11" t="s">
        <v>1148</v>
      </c>
    </row>
    <row r="1072" spans="1:1" x14ac:dyDescent="0.25">
      <c r="A1072" s="11" t="s">
        <v>1149</v>
      </c>
    </row>
    <row r="1073" spans="1:1" x14ac:dyDescent="0.25">
      <c r="A1073" s="11" t="s">
        <v>1150</v>
      </c>
    </row>
    <row r="1074" spans="1:1" x14ac:dyDescent="0.25">
      <c r="A1074" s="11" t="s">
        <v>1151</v>
      </c>
    </row>
    <row r="1075" spans="1:1" x14ac:dyDescent="0.25">
      <c r="A1075" s="11" t="s">
        <v>1152</v>
      </c>
    </row>
    <row r="1076" spans="1:1" x14ac:dyDescent="0.25">
      <c r="A1076" s="11" t="s">
        <v>1153</v>
      </c>
    </row>
    <row r="1077" spans="1:1" x14ac:dyDescent="0.25">
      <c r="A1077" s="11" t="s">
        <v>1154</v>
      </c>
    </row>
    <row r="1078" spans="1:1" x14ac:dyDescent="0.25">
      <c r="A1078" s="11" t="s">
        <v>1155</v>
      </c>
    </row>
    <row r="1079" spans="1:1" x14ac:dyDescent="0.25">
      <c r="A1079" s="11" t="s">
        <v>1156</v>
      </c>
    </row>
    <row r="1080" spans="1:1" x14ac:dyDescent="0.25">
      <c r="A1080" s="11" t="s">
        <v>1157</v>
      </c>
    </row>
    <row r="1081" spans="1:1" x14ac:dyDescent="0.25">
      <c r="A1081" s="11" t="s">
        <v>1158</v>
      </c>
    </row>
    <row r="1082" spans="1:1" x14ac:dyDescent="0.25">
      <c r="A1082" s="11" t="s">
        <v>1159</v>
      </c>
    </row>
    <row r="1083" spans="1:1" x14ac:dyDescent="0.25">
      <c r="A1083" s="11" t="s">
        <v>1160</v>
      </c>
    </row>
    <row r="1084" spans="1:1" x14ac:dyDescent="0.25">
      <c r="A1084" s="11" t="s">
        <v>1161</v>
      </c>
    </row>
    <row r="1085" spans="1:1" x14ac:dyDescent="0.25">
      <c r="A1085" s="11" t="s">
        <v>1162</v>
      </c>
    </row>
    <row r="1086" spans="1:1" x14ac:dyDescent="0.25">
      <c r="A1086" s="11" t="s">
        <v>1163</v>
      </c>
    </row>
    <row r="1087" spans="1:1" x14ac:dyDescent="0.25">
      <c r="A1087" s="11" t="s">
        <v>1164</v>
      </c>
    </row>
    <row r="1088" spans="1:1" x14ac:dyDescent="0.25">
      <c r="A1088" s="11" t="s">
        <v>1165</v>
      </c>
    </row>
    <row r="1089" spans="1:1" x14ac:dyDescent="0.25">
      <c r="A1089" s="11" t="s">
        <v>1166</v>
      </c>
    </row>
    <row r="1090" spans="1:1" x14ac:dyDescent="0.25">
      <c r="A1090" s="11" t="s">
        <v>1167</v>
      </c>
    </row>
    <row r="1091" spans="1:1" x14ac:dyDescent="0.25">
      <c r="A1091" s="11" t="s">
        <v>1168</v>
      </c>
    </row>
    <row r="1092" spans="1:1" x14ac:dyDescent="0.25">
      <c r="A1092" s="11" t="s">
        <v>1169</v>
      </c>
    </row>
    <row r="1093" spans="1:1" x14ac:dyDescent="0.25">
      <c r="A1093" s="11" t="s">
        <v>1170</v>
      </c>
    </row>
    <row r="1094" spans="1:1" x14ac:dyDescent="0.25">
      <c r="A1094" s="11" t="s">
        <v>1171</v>
      </c>
    </row>
    <row r="1095" spans="1:1" x14ac:dyDescent="0.25">
      <c r="A1095" s="11" t="s">
        <v>1172</v>
      </c>
    </row>
    <row r="1096" spans="1:1" x14ac:dyDescent="0.25">
      <c r="A1096" s="11" t="s">
        <v>1173</v>
      </c>
    </row>
    <row r="1097" spans="1:1" x14ac:dyDescent="0.25">
      <c r="A1097" s="11" t="s">
        <v>1174</v>
      </c>
    </row>
    <row r="1098" spans="1:1" x14ac:dyDescent="0.25">
      <c r="A1098" s="11" t="s">
        <v>1175</v>
      </c>
    </row>
    <row r="1099" spans="1:1" x14ac:dyDescent="0.25">
      <c r="A1099" s="11" t="s">
        <v>1176</v>
      </c>
    </row>
    <row r="1100" spans="1:1" x14ac:dyDescent="0.25">
      <c r="A1100" s="11" t="s">
        <v>1177</v>
      </c>
    </row>
    <row r="1101" spans="1:1" x14ac:dyDescent="0.25">
      <c r="A1101" s="11" t="s">
        <v>1178</v>
      </c>
    </row>
    <row r="1102" spans="1:1" x14ac:dyDescent="0.25">
      <c r="A1102" s="11" t="s">
        <v>1179</v>
      </c>
    </row>
    <row r="1103" spans="1:1" x14ac:dyDescent="0.25">
      <c r="A1103" s="11" t="s">
        <v>1180</v>
      </c>
    </row>
    <row r="1104" spans="1:1" x14ac:dyDescent="0.25">
      <c r="A1104" s="11" t="s">
        <v>1181</v>
      </c>
    </row>
    <row r="1105" spans="1:1" x14ac:dyDescent="0.25">
      <c r="A1105" s="11" t="s">
        <v>1182</v>
      </c>
    </row>
    <row r="1106" spans="1:1" x14ac:dyDescent="0.25">
      <c r="A1106" s="11" t="s">
        <v>1183</v>
      </c>
    </row>
    <row r="1107" spans="1:1" x14ac:dyDescent="0.25">
      <c r="A1107" s="11" t="s">
        <v>1184</v>
      </c>
    </row>
    <row r="1108" spans="1:1" x14ac:dyDescent="0.25">
      <c r="A1108" s="11" t="s">
        <v>1185</v>
      </c>
    </row>
    <row r="1109" spans="1:1" x14ac:dyDescent="0.25">
      <c r="A1109" s="11" t="s">
        <v>1186</v>
      </c>
    </row>
    <row r="1110" spans="1:1" x14ac:dyDescent="0.25">
      <c r="A1110" s="11" t="s">
        <v>1187</v>
      </c>
    </row>
    <row r="1111" spans="1:1" x14ac:dyDescent="0.25">
      <c r="A1111" s="11" t="s">
        <v>1188</v>
      </c>
    </row>
    <row r="1112" spans="1:1" x14ac:dyDescent="0.25">
      <c r="A1112" s="11" t="s">
        <v>1189</v>
      </c>
    </row>
    <row r="1113" spans="1:1" x14ac:dyDescent="0.25">
      <c r="A1113" s="11" t="s">
        <v>1190</v>
      </c>
    </row>
    <row r="1114" spans="1:1" x14ac:dyDescent="0.25">
      <c r="A1114" s="11" t="s">
        <v>1191</v>
      </c>
    </row>
    <row r="1115" spans="1:1" x14ac:dyDescent="0.25">
      <c r="A1115" s="11" t="s">
        <v>1192</v>
      </c>
    </row>
    <row r="1116" spans="1:1" x14ac:dyDescent="0.25">
      <c r="A1116" s="11" t="s">
        <v>1193</v>
      </c>
    </row>
    <row r="1117" spans="1:1" x14ac:dyDescent="0.25">
      <c r="A1117" s="11" t="s">
        <v>1194</v>
      </c>
    </row>
    <row r="1118" spans="1:1" x14ac:dyDescent="0.25">
      <c r="A1118" s="11" t="s">
        <v>1195</v>
      </c>
    </row>
    <row r="1119" spans="1:1" x14ac:dyDescent="0.25">
      <c r="A1119" s="11" t="s">
        <v>1196</v>
      </c>
    </row>
    <row r="1120" spans="1:1" x14ac:dyDescent="0.25">
      <c r="A1120" s="11" t="s">
        <v>1197</v>
      </c>
    </row>
    <row r="1121" spans="1:1" x14ac:dyDescent="0.25">
      <c r="A1121" s="11" t="s">
        <v>1198</v>
      </c>
    </row>
    <row r="1122" spans="1:1" x14ac:dyDescent="0.25">
      <c r="A1122" s="11" t="s">
        <v>1199</v>
      </c>
    </row>
    <row r="1123" spans="1:1" x14ac:dyDescent="0.25">
      <c r="A1123" s="11" t="s">
        <v>1200</v>
      </c>
    </row>
    <row r="1124" spans="1:1" x14ac:dyDescent="0.25">
      <c r="A1124" s="11" t="s">
        <v>1201</v>
      </c>
    </row>
    <row r="1125" spans="1:1" x14ac:dyDescent="0.25">
      <c r="A1125" s="11" t="s">
        <v>1202</v>
      </c>
    </row>
    <row r="1126" spans="1:1" x14ac:dyDescent="0.25">
      <c r="A1126" s="11" t="s">
        <v>1203</v>
      </c>
    </row>
    <row r="1127" spans="1:1" x14ac:dyDescent="0.25">
      <c r="A1127" s="11" t="s">
        <v>1204</v>
      </c>
    </row>
    <row r="1128" spans="1:1" x14ac:dyDescent="0.25">
      <c r="A1128" s="11" t="s">
        <v>1205</v>
      </c>
    </row>
    <row r="1129" spans="1:1" x14ac:dyDescent="0.25">
      <c r="A1129" s="11" t="s">
        <v>1206</v>
      </c>
    </row>
    <row r="1130" spans="1:1" x14ac:dyDescent="0.25">
      <c r="A1130" s="11" t="s">
        <v>1207</v>
      </c>
    </row>
    <row r="1131" spans="1:1" x14ac:dyDescent="0.25">
      <c r="A1131" s="11" t="s">
        <v>1208</v>
      </c>
    </row>
    <row r="1132" spans="1:1" x14ac:dyDescent="0.25">
      <c r="A1132" s="11" t="s">
        <v>1209</v>
      </c>
    </row>
    <row r="1133" spans="1:1" x14ac:dyDescent="0.25">
      <c r="A1133" s="11" t="s">
        <v>1210</v>
      </c>
    </row>
    <row r="1134" spans="1:1" x14ac:dyDescent="0.25">
      <c r="A1134" s="11" t="s">
        <v>1211</v>
      </c>
    </row>
    <row r="1135" spans="1:1" x14ac:dyDescent="0.25">
      <c r="A1135" s="11" t="s">
        <v>1212</v>
      </c>
    </row>
    <row r="1136" spans="1:1" x14ac:dyDescent="0.25">
      <c r="A1136" s="11" t="s">
        <v>1213</v>
      </c>
    </row>
    <row r="1137" spans="1:1" x14ac:dyDescent="0.25">
      <c r="A1137" s="11" t="s">
        <v>1214</v>
      </c>
    </row>
    <row r="1138" spans="1:1" x14ac:dyDescent="0.25">
      <c r="A1138" s="11" t="s">
        <v>1215</v>
      </c>
    </row>
    <row r="1139" spans="1:1" x14ac:dyDescent="0.25">
      <c r="A1139" s="11" t="s">
        <v>1216</v>
      </c>
    </row>
    <row r="1140" spans="1:1" x14ac:dyDescent="0.25">
      <c r="A1140" s="11" t="s">
        <v>1217</v>
      </c>
    </row>
    <row r="1141" spans="1:1" x14ac:dyDescent="0.25">
      <c r="A1141" s="11" t="s">
        <v>1218</v>
      </c>
    </row>
    <row r="1142" spans="1:1" x14ac:dyDescent="0.25">
      <c r="A1142" s="11" t="s">
        <v>1219</v>
      </c>
    </row>
    <row r="1143" spans="1:1" x14ac:dyDescent="0.25">
      <c r="A1143" s="11" t="s">
        <v>1220</v>
      </c>
    </row>
    <row r="1144" spans="1:1" x14ac:dyDescent="0.25">
      <c r="A1144" s="11" t="s">
        <v>1221</v>
      </c>
    </row>
    <row r="1145" spans="1:1" x14ac:dyDescent="0.25">
      <c r="A1145" s="11" t="s">
        <v>1222</v>
      </c>
    </row>
    <row r="1146" spans="1:1" x14ac:dyDescent="0.25">
      <c r="A1146" s="11" t="s">
        <v>1223</v>
      </c>
    </row>
    <row r="1147" spans="1:1" x14ac:dyDescent="0.25">
      <c r="A1147" s="11" t="s">
        <v>1224</v>
      </c>
    </row>
    <row r="1148" spans="1:1" x14ac:dyDescent="0.25">
      <c r="A1148" s="11" t="s">
        <v>1225</v>
      </c>
    </row>
    <row r="1149" spans="1:1" x14ac:dyDescent="0.25">
      <c r="A1149" s="11" t="s">
        <v>1226</v>
      </c>
    </row>
    <row r="1150" spans="1:1" x14ac:dyDescent="0.25">
      <c r="A1150" s="11" t="s">
        <v>1227</v>
      </c>
    </row>
    <row r="1151" spans="1:1" x14ac:dyDescent="0.25">
      <c r="A1151" s="11" t="s">
        <v>1228</v>
      </c>
    </row>
    <row r="1152" spans="1:1" x14ac:dyDescent="0.25">
      <c r="A1152" s="11" t="s">
        <v>1229</v>
      </c>
    </row>
    <row r="1153" spans="1:1" x14ac:dyDescent="0.25">
      <c r="A1153" s="11" t="s">
        <v>1230</v>
      </c>
    </row>
    <row r="1154" spans="1:1" x14ac:dyDescent="0.25">
      <c r="A1154" s="11" t="s">
        <v>1231</v>
      </c>
    </row>
    <row r="1155" spans="1:1" x14ac:dyDescent="0.25">
      <c r="A1155" s="11" t="s">
        <v>1232</v>
      </c>
    </row>
    <row r="1156" spans="1:1" x14ac:dyDescent="0.25">
      <c r="A1156" s="11" t="s">
        <v>1233</v>
      </c>
    </row>
    <row r="1157" spans="1:1" x14ac:dyDescent="0.25">
      <c r="A1157" s="11" t="s">
        <v>1234</v>
      </c>
    </row>
    <row r="1158" spans="1:1" x14ac:dyDescent="0.25">
      <c r="A1158" s="11" t="s">
        <v>1235</v>
      </c>
    </row>
    <row r="1159" spans="1:1" x14ac:dyDescent="0.25">
      <c r="A1159" s="11" t="s">
        <v>1236</v>
      </c>
    </row>
    <row r="1160" spans="1:1" x14ac:dyDescent="0.25">
      <c r="A1160" s="11" t="s">
        <v>1237</v>
      </c>
    </row>
    <row r="1161" spans="1:1" x14ac:dyDescent="0.25">
      <c r="A1161" s="11" t="s">
        <v>1238</v>
      </c>
    </row>
    <row r="1162" spans="1:1" x14ac:dyDescent="0.25">
      <c r="A1162" s="11" t="s">
        <v>1239</v>
      </c>
    </row>
    <row r="1163" spans="1:1" x14ac:dyDescent="0.25">
      <c r="A1163" s="11" t="s">
        <v>1240</v>
      </c>
    </row>
    <row r="1164" spans="1:1" x14ac:dyDescent="0.25">
      <c r="A1164" s="11" t="s">
        <v>1241</v>
      </c>
    </row>
    <row r="1165" spans="1:1" x14ac:dyDescent="0.25">
      <c r="A1165" s="11" t="s">
        <v>1242</v>
      </c>
    </row>
    <row r="1166" spans="1:1" x14ac:dyDescent="0.25">
      <c r="A1166" s="11" t="s">
        <v>1243</v>
      </c>
    </row>
    <row r="1167" spans="1:1" x14ac:dyDescent="0.25">
      <c r="A1167" s="11" t="s">
        <v>1244</v>
      </c>
    </row>
    <row r="1168" spans="1:1" x14ac:dyDescent="0.25">
      <c r="A1168" s="11" t="s">
        <v>1245</v>
      </c>
    </row>
    <row r="1169" spans="1:1" x14ac:dyDescent="0.25">
      <c r="A1169" s="11" t="s">
        <v>1246</v>
      </c>
    </row>
    <row r="1170" spans="1:1" x14ac:dyDescent="0.25">
      <c r="A1170" s="11" t="s">
        <v>1247</v>
      </c>
    </row>
    <row r="1171" spans="1:1" x14ac:dyDescent="0.25">
      <c r="A1171" s="11" t="s">
        <v>1248</v>
      </c>
    </row>
    <row r="1172" spans="1:1" x14ac:dyDescent="0.25">
      <c r="A1172" s="11" t="s">
        <v>1249</v>
      </c>
    </row>
    <row r="1173" spans="1:1" x14ac:dyDescent="0.25">
      <c r="A1173" s="11" t="s">
        <v>1250</v>
      </c>
    </row>
    <row r="1174" spans="1:1" x14ac:dyDescent="0.25">
      <c r="A1174" s="11" t="s">
        <v>1251</v>
      </c>
    </row>
    <row r="1175" spans="1:1" x14ac:dyDescent="0.25">
      <c r="A1175" s="11" t="s">
        <v>1252</v>
      </c>
    </row>
    <row r="1176" spans="1:1" x14ac:dyDescent="0.25">
      <c r="A1176" s="11" t="s">
        <v>1253</v>
      </c>
    </row>
    <row r="1177" spans="1:1" x14ac:dyDescent="0.25">
      <c r="A1177" s="11" t="s">
        <v>1254</v>
      </c>
    </row>
    <row r="1178" spans="1:1" x14ac:dyDescent="0.25">
      <c r="A1178" s="11" t="s">
        <v>1255</v>
      </c>
    </row>
    <row r="1179" spans="1:1" x14ac:dyDescent="0.25">
      <c r="A1179" s="11" t="s">
        <v>1256</v>
      </c>
    </row>
    <row r="1180" spans="1:1" x14ac:dyDescent="0.25">
      <c r="A1180" s="11" t="s">
        <v>1257</v>
      </c>
    </row>
    <row r="1181" spans="1:1" x14ac:dyDescent="0.25">
      <c r="A1181" s="11" t="s">
        <v>1258</v>
      </c>
    </row>
    <row r="1182" spans="1:1" x14ac:dyDescent="0.25">
      <c r="A1182" s="11" t="s">
        <v>1259</v>
      </c>
    </row>
    <row r="1183" spans="1:1" x14ac:dyDescent="0.25">
      <c r="A1183" s="11" t="s">
        <v>1260</v>
      </c>
    </row>
    <row r="1184" spans="1:1" x14ac:dyDescent="0.25">
      <c r="A1184" s="11" t="s">
        <v>1261</v>
      </c>
    </row>
    <row r="1185" spans="1:1" x14ac:dyDescent="0.25">
      <c r="A1185" s="11" t="s">
        <v>1262</v>
      </c>
    </row>
    <row r="1186" spans="1:1" x14ac:dyDescent="0.25">
      <c r="A1186" s="11" t="s">
        <v>1263</v>
      </c>
    </row>
    <row r="1187" spans="1:1" x14ac:dyDescent="0.25">
      <c r="A1187" s="11" t="s">
        <v>1264</v>
      </c>
    </row>
    <row r="1188" spans="1:1" x14ac:dyDescent="0.25">
      <c r="A1188" s="11" t="s">
        <v>1265</v>
      </c>
    </row>
    <row r="1189" spans="1:1" x14ac:dyDescent="0.25">
      <c r="A1189" s="11" t="s">
        <v>1266</v>
      </c>
    </row>
    <row r="1190" spans="1:1" x14ac:dyDescent="0.25">
      <c r="A1190" s="11" t="s">
        <v>1267</v>
      </c>
    </row>
    <row r="1191" spans="1:1" x14ac:dyDescent="0.25">
      <c r="A1191" s="11" t="s">
        <v>1268</v>
      </c>
    </row>
    <row r="1192" spans="1:1" x14ac:dyDescent="0.25">
      <c r="A1192" s="11" t="s">
        <v>1269</v>
      </c>
    </row>
    <row r="1193" spans="1:1" x14ac:dyDescent="0.25">
      <c r="A1193" s="11" t="s">
        <v>1270</v>
      </c>
    </row>
    <row r="1194" spans="1:1" x14ac:dyDescent="0.25">
      <c r="A1194" s="11" t="s">
        <v>1271</v>
      </c>
    </row>
    <row r="1195" spans="1:1" x14ac:dyDescent="0.25">
      <c r="A1195" s="11" t="s">
        <v>1272</v>
      </c>
    </row>
    <row r="1196" spans="1:1" x14ac:dyDescent="0.25">
      <c r="A1196" s="11" t="s">
        <v>1273</v>
      </c>
    </row>
    <row r="1197" spans="1:1" x14ac:dyDescent="0.25">
      <c r="A1197" s="11" t="s">
        <v>1274</v>
      </c>
    </row>
    <row r="1198" spans="1:1" x14ac:dyDescent="0.25">
      <c r="A1198" s="11" t="s">
        <v>1275</v>
      </c>
    </row>
    <row r="1199" spans="1:1" x14ac:dyDescent="0.25">
      <c r="A1199" s="11" t="s">
        <v>1276</v>
      </c>
    </row>
    <row r="1200" spans="1:1" x14ac:dyDescent="0.25">
      <c r="A1200" s="11" t="s">
        <v>1277</v>
      </c>
    </row>
    <row r="1201" spans="1:1" x14ac:dyDescent="0.25">
      <c r="A1201" s="11" t="s">
        <v>1278</v>
      </c>
    </row>
    <row r="1202" spans="1:1" x14ac:dyDescent="0.25">
      <c r="A1202" s="11" t="s">
        <v>1279</v>
      </c>
    </row>
    <row r="1203" spans="1:1" x14ac:dyDescent="0.25">
      <c r="A1203" s="11" t="s">
        <v>1280</v>
      </c>
    </row>
    <row r="1204" spans="1:1" x14ac:dyDescent="0.25">
      <c r="A1204" s="11" t="s">
        <v>1281</v>
      </c>
    </row>
    <row r="1205" spans="1:1" x14ac:dyDescent="0.25">
      <c r="A1205" s="11" t="s">
        <v>1282</v>
      </c>
    </row>
    <row r="1206" spans="1:1" x14ac:dyDescent="0.25">
      <c r="A1206" s="11" t="s">
        <v>1283</v>
      </c>
    </row>
    <row r="1207" spans="1:1" x14ac:dyDescent="0.25">
      <c r="A1207" s="11" t="s">
        <v>1284</v>
      </c>
    </row>
    <row r="1208" spans="1:1" x14ac:dyDescent="0.25">
      <c r="A1208" s="11" t="s">
        <v>1285</v>
      </c>
    </row>
    <row r="1209" spans="1:1" x14ac:dyDescent="0.25">
      <c r="A1209" s="11" t="s">
        <v>1286</v>
      </c>
    </row>
    <row r="1210" spans="1:1" x14ac:dyDescent="0.25">
      <c r="A1210" s="11" t="s">
        <v>1287</v>
      </c>
    </row>
    <row r="1211" spans="1:1" x14ac:dyDescent="0.25">
      <c r="A1211" s="11" t="s">
        <v>1288</v>
      </c>
    </row>
    <row r="1212" spans="1:1" x14ac:dyDescent="0.25">
      <c r="A1212" s="11" t="s">
        <v>1289</v>
      </c>
    </row>
    <row r="1213" spans="1:1" x14ac:dyDescent="0.25">
      <c r="A1213" s="11" t="s">
        <v>1290</v>
      </c>
    </row>
    <row r="1214" spans="1:1" x14ac:dyDescent="0.25">
      <c r="A1214" s="11" t="s">
        <v>1291</v>
      </c>
    </row>
    <row r="1215" spans="1:1" x14ac:dyDescent="0.25">
      <c r="A1215" s="11" t="s">
        <v>1292</v>
      </c>
    </row>
    <row r="1216" spans="1:1" x14ac:dyDescent="0.25">
      <c r="A1216" s="11" t="s">
        <v>1293</v>
      </c>
    </row>
    <row r="1217" spans="1:1" x14ac:dyDescent="0.25">
      <c r="A1217" s="11" t="s">
        <v>1294</v>
      </c>
    </row>
    <row r="1218" spans="1:1" x14ac:dyDescent="0.25">
      <c r="A1218" s="11" t="s">
        <v>1295</v>
      </c>
    </row>
    <row r="1219" spans="1:1" x14ac:dyDescent="0.25">
      <c r="A1219" s="11" t="s">
        <v>1296</v>
      </c>
    </row>
    <row r="1220" spans="1:1" x14ac:dyDescent="0.25">
      <c r="A1220" s="11" t="s">
        <v>1297</v>
      </c>
    </row>
    <row r="1221" spans="1:1" x14ac:dyDescent="0.25">
      <c r="A1221" s="11" t="s">
        <v>1298</v>
      </c>
    </row>
    <row r="1222" spans="1:1" x14ac:dyDescent="0.25">
      <c r="A1222" s="11" t="s">
        <v>1299</v>
      </c>
    </row>
    <row r="1223" spans="1:1" x14ac:dyDescent="0.25">
      <c r="A1223" s="11" t="s">
        <v>1300</v>
      </c>
    </row>
    <row r="1224" spans="1:1" x14ac:dyDescent="0.25">
      <c r="A1224" s="11" t="s">
        <v>1301</v>
      </c>
    </row>
    <row r="1225" spans="1:1" x14ac:dyDescent="0.25">
      <c r="A1225" s="11" t="s">
        <v>1302</v>
      </c>
    </row>
    <row r="1226" spans="1:1" x14ac:dyDescent="0.25">
      <c r="A1226" s="11" t="s">
        <v>1303</v>
      </c>
    </row>
    <row r="1227" spans="1:1" x14ac:dyDescent="0.25">
      <c r="A1227" s="11" t="s">
        <v>1304</v>
      </c>
    </row>
    <row r="1228" spans="1:1" x14ac:dyDescent="0.25">
      <c r="A1228" s="11" t="s">
        <v>1305</v>
      </c>
    </row>
    <row r="1229" spans="1:1" x14ac:dyDescent="0.25">
      <c r="A1229" s="11" t="s">
        <v>1306</v>
      </c>
    </row>
    <row r="1230" spans="1:1" x14ac:dyDescent="0.25">
      <c r="A1230" s="11" t="s">
        <v>1307</v>
      </c>
    </row>
    <row r="1231" spans="1:1" x14ac:dyDescent="0.25">
      <c r="A1231" s="11" t="s">
        <v>1308</v>
      </c>
    </row>
    <row r="1232" spans="1:1" x14ac:dyDescent="0.25">
      <c r="A1232" s="11" t="s">
        <v>1309</v>
      </c>
    </row>
    <row r="1233" spans="1:1" x14ac:dyDescent="0.25">
      <c r="A1233" s="11" t="s">
        <v>1310</v>
      </c>
    </row>
    <row r="1234" spans="1:1" x14ac:dyDescent="0.25">
      <c r="A1234" s="11" t="s">
        <v>1311</v>
      </c>
    </row>
    <row r="1235" spans="1:1" x14ac:dyDescent="0.25">
      <c r="A1235" s="11" t="s">
        <v>1312</v>
      </c>
    </row>
    <row r="1236" spans="1:1" x14ac:dyDescent="0.25">
      <c r="A1236" s="11" t="s">
        <v>1313</v>
      </c>
    </row>
    <row r="1237" spans="1:1" x14ac:dyDescent="0.25">
      <c r="A1237" s="11" t="s">
        <v>1314</v>
      </c>
    </row>
    <row r="1238" spans="1:1" x14ac:dyDescent="0.25">
      <c r="A1238" s="11" t="s">
        <v>1315</v>
      </c>
    </row>
    <row r="1239" spans="1:1" x14ac:dyDescent="0.25">
      <c r="A1239" s="11" t="s">
        <v>1316</v>
      </c>
    </row>
    <row r="1240" spans="1:1" x14ac:dyDescent="0.25">
      <c r="A1240" s="11" t="s">
        <v>1317</v>
      </c>
    </row>
    <row r="1241" spans="1:1" x14ac:dyDescent="0.25">
      <c r="A1241" s="11" t="s">
        <v>1318</v>
      </c>
    </row>
    <row r="1242" spans="1:1" x14ac:dyDescent="0.25">
      <c r="A1242" s="11" t="s">
        <v>1319</v>
      </c>
    </row>
    <row r="1243" spans="1:1" x14ac:dyDescent="0.25">
      <c r="A1243" s="11" t="s">
        <v>1320</v>
      </c>
    </row>
    <row r="1244" spans="1:1" x14ac:dyDescent="0.25">
      <c r="A1244" s="11" t="s">
        <v>1321</v>
      </c>
    </row>
    <row r="1245" spans="1:1" x14ac:dyDescent="0.25">
      <c r="A1245" s="11" t="s">
        <v>1322</v>
      </c>
    </row>
    <row r="1246" spans="1:1" x14ac:dyDescent="0.25">
      <c r="A1246" s="11" t="s">
        <v>1323</v>
      </c>
    </row>
    <row r="1247" spans="1:1" x14ac:dyDescent="0.25">
      <c r="A1247" s="11" t="s">
        <v>1324</v>
      </c>
    </row>
    <row r="1248" spans="1:1" x14ac:dyDescent="0.25">
      <c r="A1248" s="11" t="s">
        <v>1325</v>
      </c>
    </row>
    <row r="1249" spans="1:1" x14ac:dyDescent="0.25">
      <c r="A1249" s="11" t="s">
        <v>1326</v>
      </c>
    </row>
    <row r="1250" spans="1:1" x14ac:dyDescent="0.25">
      <c r="A1250" s="11" t="s">
        <v>1327</v>
      </c>
    </row>
    <row r="1251" spans="1:1" x14ac:dyDescent="0.25">
      <c r="A1251" s="11" t="s">
        <v>1328</v>
      </c>
    </row>
    <row r="1252" spans="1:1" x14ac:dyDescent="0.25">
      <c r="A1252" s="11" t="s">
        <v>1329</v>
      </c>
    </row>
    <row r="1253" spans="1:1" x14ac:dyDescent="0.25">
      <c r="A1253" s="11" t="s">
        <v>1330</v>
      </c>
    </row>
    <row r="1254" spans="1:1" x14ac:dyDescent="0.25">
      <c r="A1254" s="11" t="s">
        <v>1331</v>
      </c>
    </row>
    <row r="1255" spans="1:1" x14ac:dyDescent="0.25">
      <c r="A1255" s="11" t="s">
        <v>1332</v>
      </c>
    </row>
    <row r="1256" spans="1:1" x14ac:dyDescent="0.25">
      <c r="A1256" s="11" t="s">
        <v>1333</v>
      </c>
    </row>
    <row r="1257" spans="1:1" x14ac:dyDescent="0.25">
      <c r="A1257" s="11" t="s">
        <v>1334</v>
      </c>
    </row>
    <row r="1258" spans="1:1" x14ac:dyDescent="0.25">
      <c r="A1258" s="11" t="s">
        <v>1335</v>
      </c>
    </row>
    <row r="1259" spans="1:1" x14ac:dyDescent="0.25">
      <c r="A1259" s="11" t="s">
        <v>1336</v>
      </c>
    </row>
    <row r="1260" spans="1:1" x14ac:dyDescent="0.25">
      <c r="A1260" s="11" t="s">
        <v>1337</v>
      </c>
    </row>
    <row r="1261" spans="1:1" x14ac:dyDescent="0.25">
      <c r="A1261" s="11" t="s">
        <v>1338</v>
      </c>
    </row>
    <row r="1262" spans="1:1" x14ac:dyDescent="0.25">
      <c r="A1262" s="11" t="s">
        <v>1339</v>
      </c>
    </row>
    <row r="1263" spans="1:1" x14ac:dyDescent="0.25">
      <c r="A1263" s="11" t="s">
        <v>1340</v>
      </c>
    </row>
    <row r="1264" spans="1:1" x14ac:dyDescent="0.25">
      <c r="A1264" s="11" t="s">
        <v>1341</v>
      </c>
    </row>
    <row r="1265" spans="1:1" x14ac:dyDescent="0.25">
      <c r="A1265" s="11" t="s">
        <v>1342</v>
      </c>
    </row>
    <row r="1266" spans="1:1" x14ac:dyDescent="0.25">
      <c r="A1266" s="11" t="s">
        <v>1343</v>
      </c>
    </row>
    <row r="1267" spans="1:1" x14ac:dyDescent="0.25">
      <c r="A1267" s="11" t="s">
        <v>1344</v>
      </c>
    </row>
    <row r="1268" spans="1:1" x14ac:dyDescent="0.25">
      <c r="A1268" s="11" t="s">
        <v>1345</v>
      </c>
    </row>
    <row r="1269" spans="1:1" x14ac:dyDescent="0.25">
      <c r="A1269" s="11" t="s">
        <v>1346</v>
      </c>
    </row>
    <row r="1270" spans="1:1" x14ac:dyDescent="0.25">
      <c r="A1270" s="11" t="s">
        <v>1347</v>
      </c>
    </row>
    <row r="1271" spans="1:1" x14ac:dyDescent="0.25">
      <c r="A1271" s="11" t="s">
        <v>1348</v>
      </c>
    </row>
    <row r="1272" spans="1:1" x14ac:dyDescent="0.25">
      <c r="A1272" s="11" t="s">
        <v>1349</v>
      </c>
    </row>
    <row r="1273" spans="1:1" x14ac:dyDescent="0.25">
      <c r="A1273" s="11" t="s">
        <v>1350</v>
      </c>
    </row>
    <row r="1274" spans="1:1" x14ac:dyDescent="0.25">
      <c r="A1274" s="11" t="s">
        <v>1351</v>
      </c>
    </row>
    <row r="1275" spans="1:1" x14ac:dyDescent="0.25">
      <c r="A1275" s="11" t="s">
        <v>1352</v>
      </c>
    </row>
    <row r="1276" spans="1:1" x14ac:dyDescent="0.25">
      <c r="A1276" s="11" t="s">
        <v>1353</v>
      </c>
    </row>
    <row r="1277" spans="1:1" x14ac:dyDescent="0.25">
      <c r="A1277" s="11" t="s">
        <v>1354</v>
      </c>
    </row>
    <row r="1278" spans="1:1" x14ac:dyDescent="0.25">
      <c r="A1278" s="11" t="s">
        <v>1355</v>
      </c>
    </row>
    <row r="1279" spans="1:1" x14ac:dyDescent="0.25">
      <c r="A1279" s="11" t="s">
        <v>1356</v>
      </c>
    </row>
    <row r="1280" spans="1:1" x14ac:dyDescent="0.25">
      <c r="A1280" s="11" t="s">
        <v>1357</v>
      </c>
    </row>
    <row r="1281" spans="1:1" x14ac:dyDescent="0.25">
      <c r="A1281" s="11" t="s">
        <v>1358</v>
      </c>
    </row>
    <row r="1282" spans="1:1" x14ac:dyDescent="0.25">
      <c r="A1282" s="11" t="s">
        <v>1359</v>
      </c>
    </row>
    <row r="1283" spans="1:1" x14ac:dyDescent="0.25">
      <c r="A1283" s="11" t="s">
        <v>1360</v>
      </c>
    </row>
    <row r="1284" spans="1:1" x14ac:dyDescent="0.25">
      <c r="A1284" s="11" t="s">
        <v>1361</v>
      </c>
    </row>
    <row r="1285" spans="1:1" x14ac:dyDescent="0.25">
      <c r="A1285" s="11" t="s">
        <v>1362</v>
      </c>
    </row>
    <row r="1286" spans="1:1" x14ac:dyDescent="0.25">
      <c r="A1286" s="11" t="s">
        <v>1363</v>
      </c>
    </row>
    <row r="1287" spans="1:1" x14ac:dyDescent="0.25">
      <c r="A1287" s="11" t="s">
        <v>1364</v>
      </c>
    </row>
    <row r="1288" spans="1:1" x14ac:dyDescent="0.25">
      <c r="A1288" s="11" t="s">
        <v>1365</v>
      </c>
    </row>
    <row r="1289" spans="1:1" x14ac:dyDescent="0.25">
      <c r="A1289" s="11" t="s">
        <v>1366</v>
      </c>
    </row>
    <row r="1290" spans="1:1" x14ac:dyDescent="0.25">
      <c r="A1290" s="11" t="s">
        <v>1367</v>
      </c>
    </row>
    <row r="1291" spans="1:1" x14ac:dyDescent="0.25">
      <c r="A1291" s="11" t="s">
        <v>1368</v>
      </c>
    </row>
    <row r="1292" spans="1:1" x14ac:dyDescent="0.25">
      <c r="A1292" s="11" t="s">
        <v>1369</v>
      </c>
    </row>
    <row r="1293" spans="1:1" x14ac:dyDescent="0.25">
      <c r="A1293" s="11" t="s">
        <v>1370</v>
      </c>
    </row>
    <row r="1294" spans="1:1" x14ac:dyDescent="0.25">
      <c r="A1294" s="11" t="s">
        <v>1371</v>
      </c>
    </row>
    <row r="1295" spans="1:1" x14ac:dyDescent="0.25">
      <c r="A1295" s="11" t="s">
        <v>1372</v>
      </c>
    </row>
    <row r="1296" spans="1:1" x14ac:dyDescent="0.25">
      <c r="A1296" s="11" t="s">
        <v>1373</v>
      </c>
    </row>
    <row r="1297" spans="1:1" x14ac:dyDescent="0.25">
      <c r="A1297" s="11" t="s">
        <v>1374</v>
      </c>
    </row>
    <row r="1298" spans="1:1" x14ac:dyDescent="0.25">
      <c r="A1298" s="11" t="s">
        <v>1375</v>
      </c>
    </row>
    <row r="1299" spans="1:1" x14ac:dyDescent="0.25">
      <c r="A1299" s="11" t="s">
        <v>1376</v>
      </c>
    </row>
    <row r="1300" spans="1:1" x14ac:dyDescent="0.25">
      <c r="A1300" s="11" t="s">
        <v>1377</v>
      </c>
    </row>
    <row r="1301" spans="1:1" x14ac:dyDescent="0.25">
      <c r="A1301" s="11" t="s">
        <v>1378</v>
      </c>
    </row>
    <row r="1302" spans="1:1" x14ac:dyDescent="0.25">
      <c r="A1302" s="11" t="s">
        <v>1379</v>
      </c>
    </row>
    <row r="1303" spans="1:1" x14ac:dyDescent="0.25">
      <c r="A1303" s="11" t="s">
        <v>1380</v>
      </c>
    </row>
    <row r="1304" spans="1:1" x14ac:dyDescent="0.25">
      <c r="A1304" s="11" t="s">
        <v>1381</v>
      </c>
    </row>
    <row r="1305" spans="1:1" x14ac:dyDescent="0.25">
      <c r="A1305" s="11" t="s">
        <v>1382</v>
      </c>
    </row>
    <row r="1306" spans="1:1" x14ac:dyDescent="0.25">
      <c r="A1306" s="11" t="s">
        <v>1383</v>
      </c>
    </row>
    <row r="1307" spans="1:1" x14ac:dyDescent="0.25">
      <c r="A1307" s="11" t="s">
        <v>1384</v>
      </c>
    </row>
    <row r="1308" spans="1:1" x14ac:dyDescent="0.25">
      <c r="A1308" s="11" t="s">
        <v>1385</v>
      </c>
    </row>
    <row r="1309" spans="1:1" x14ac:dyDescent="0.25">
      <c r="A1309" s="11" t="s">
        <v>1386</v>
      </c>
    </row>
    <row r="1310" spans="1:1" x14ac:dyDescent="0.25">
      <c r="A1310" s="11" t="s">
        <v>1387</v>
      </c>
    </row>
    <row r="1311" spans="1:1" x14ac:dyDescent="0.25">
      <c r="A1311" s="11" t="s">
        <v>1388</v>
      </c>
    </row>
    <row r="1312" spans="1:1" x14ac:dyDescent="0.25">
      <c r="A1312" s="11" t="s">
        <v>1389</v>
      </c>
    </row>
    <row r="1313" spans="1:1" x14ac:dyDescent="0.25">
      <c r="A1313" s="11" t="s">
        <v>1390</v>
      </c>
    </row>
    <row r="1314" spans="1:1" x14ac:dyDescent="0.25">
      <c r="A1314" s="11" t="s">
        <v>1391</v>
      </c>
    </row>
    <row r="1315" spans="1:1" x14ac:dyDescent="0.25">
      <c r="A1315" s="11" t="s">
        <v>1392</v>
      </c>
    </row>
    <row r="1316" spans="1:1" x14ac:dyDescent="0.25">
      <c r="A1316" s="11" t="s">
        <v>1393</v>
      </c>
    </row>
    <row r="1317" spans="1:1" x14ac:dyDescent="0.25">
      <c r="A1317" s="11" t="s">
        <v>1394</v>
      </c>
    </row>
    <row r="1318" spans="1:1" x14ac:dyDescent="0.25">
      <c r="A1318" s="11" t="s">
        <v>1395</v>
      </c>
    </row>
    <row r="1319" spans="1:1" x14ac:dyDescent="0.25">
      <c r="A1319" s="11" t="s">
        <v>1396</v>
      </c>
    </row>
    <row r="1320" spans="1:1" x14ac:dyDescent="0.25">
      <c r="A1320" s="11" t="s">
        <v>1397</v>
      </c>
    </row>
    <row r="1321" spans="1:1" x14ac:dyDescent="0.25">
      <c r="A1321" s="11" t="s">
        <v>1398</v>
      </c>
    </row>
    <row r="1322" spans="1:1" x14ac:dyDescent="0.25">
      <c r="A1322" s="11" t="s">
        <v>1399</v>
      </c>
    </row>
    <row r="1323" spans="1:1" x14ac:dyDescent="0.25">
      <c r="A1323" s="11" t="s">
        <v>1400</v>
      </c>
    </row>
    <row r="1324" spans="1:1" x14ac:dyDescent="0.25">
      <c r="A1324" s="11" t="s">
        <v>1401</v>
      </c>
    </row>
    <row r="1325" spans="1:1" x14ac:dyDescent="0.25">
      <c r="A1325" s="11" t="s">
        <v>1402</v>
      </c>
    </row>
    <row r="1326" spans="1:1" x14ac:dyDescent="0.25">
      <c r="A1326" s="11" t="s">
        <v>1403</v>
      </c>
    </row>
    <row r="1327" spans="1:1" x14ac:dyDescent="0.25">
      <c r="A1327" s="11" t="s">
        <v>1404</v>
      </c>
    </row>
    <row r="1328" spans="1:1" x14ac:dyDescent="0.25">
      <c r="A1328" s="11" t="s">
        <v>1405</v>
      </c>
    </row>
    <row r="1329" spans="1:1" x14ac:dyDescent="0.25">
      <c r="A1329" s="11" t="s">
        <v>1406</v>
      </c>
    </row>
    <row r="1330" spans="1:1" x14ac:dyDescent="0.25">
      <c r="A1330" s="11" t="s">
        <v>1407</v>
      </c>
    </row>
    <row r="1331" spans="1:1" x14ac:dyDescent="0.25">
      <c r="A1331" s="11" t="s">
        <v>1408</v>
      </c>
    </row>
    <row r="1332" spans="1:1" x14ac:dyDescent="0.25">
      <c r="A1332" s="11" t="s">
        <v>1409</v>
      </c>
    </row>
    <row r="1333" spans="1:1" x14ac:dyDescent="0.25">
      <c r="A1333" s="11" t="s">
        <v>1410</v>
      </c>
    </row>
    <row r="1334" spans="1:1" x14ac:dyDescent="0.25">
      <c r="A1334" s="11" t="s">
        <v>1411</v>
      </c>
    </row>
    <row r="1335" spans="1:1" x14ac:dyDescent="0.25">
      <c r="A1335" s="11" t="s">
        <v>1412</v>
      </c>
    </row>
    <row r="1336" spans="1:1" x14ac:dyDescent="0.25">
      <c r="A1336" s="11" t="s">
        <v>1413</v>
      </c>
    </row>
    <row r="1337" spans="1:1" x14ac:dyDescent="0.25">
      <c r="A1337" s="11" t="s">
        <v>1414</v>
      </c>
    </row>
    <row r="1338" spans="1:1" x14ac:dyDescent="0.25">
      <c r="A1338" s="11" t="s">
        <v>1415</v>
      </c>
    </row>
    <row r="1339" spans="1:1" x14ac:dyDescent="0.25">
      <c r="A1339" s="11" t="s">
        <v>1416</v>
      </c>
    </row>
    <row r="1340" spans="1:1" x14ac:dyDescent="0.25">
      <c r="A1340" s="11" t="s">
        <v>1417</v>
      </c>
    </row>
    <row r="1341" spans="1:1" x14ac:dyDescent="0.25">
      <c r="A1341" s="11" t="s">
        <v>1418</v>
      </c>
    </row>
    <row r="1342" spans="1:1" x14ac:dyDescent="0.25">
      <c r="A1342" s="11" t="s">
        <v>1419</v>
      </c>
    </row>
    <row r="1343" spans="1:1" x14ac:dyDescent="0.25">
      <c r="A1343" s="11" t="s">
        <v>1420</v>
      </c>
    </row>
    <row r="1344" spans="1:1" x14ac:dyDescent="0.25">
      <c r="A1344" s="11" t="s">
        <v>1421</v>
      </c>
    </row>
    <row r="1345" spans="1:1" x14ac:dyDescent="0.25">
      <c r="A1345" s="11" t="s">
        <v>1422</v>
      </c>
    </row>
    <row r="1346" spans="1:1" x14ac:dyDescent="0.25">
      <c r="A1346" s="11" t="s">
        <v>1423</v>
      </c>
    </row>
    <row r="1347" spans="1:1" x14ac:dyDescent="0.25">
      <c r="A1347" s="11" t="s">
        <v>1424</v>
      </c>
    </row>
    <row r="1348" spans="1:1" x14ac:dyDescent="0.25">
      <c r="A1348" s="11" t="s">
        <v>1425</v>
      </c>
    </row>
    <row r="1349" spans="1:1" x14ac:dyDescent="0.25">
      <c r="A1349" s="11" t="s">
        <v>1426</v>
      </c>
    </row>
    <row r="1350" spans="1:1" x14ac:dyDescent="0.25">
      <c r="A1350" s="11" t="s">
        <v>1427</v>
      </c>
    </row>
    <row r="1351" spans="1:1" x14ac:dyDescent="0.25">
      <c r="A1351" s="11" t="s">
        <v>1428</v>
      </c>
    </row>
    <row r="1352" spans="1:1" x14ac:dyDescent="0.25">
      <c r="A1352" s="11" t="s">
        <v>1429</v>
      </c>
    </row>
    <row r="1353" spans="1:1" x14ac:dyDescent="0.25">
      <c r="A1353" s="11" t="s">
        <v>1430</v>
      </c>
    </row>
    <row r="1354" spans="1:1" x14ac:dyDescent="0.25">
      <c r="A1354" s="11" t="s">
        <v>1431</v>
      </c>
    </row>
    <row r="1355" spans="1:1" x14ac:dyDescent="0.25">
      <c r="A1355" s="11" t="s">
        <v>1432</v>
      </c>
    </row>
    <row r="1356" spans="1:1" x14ac:dyDescent="0.25">
      <c r="A1356" s="11" t="s">
        <v>1433</v>
      </c>
    </row>
    <row r="1357" spans="1:1" x14ac:dyDescent="0.25">
      <c r="A1357" s="11" t="s">
        <v>1434</v>
      </c>
    </row>
    <row r="1358" spans="1:1" x14ac:dyDescent="0.25">
      <c r="A1358" s="11" t="s">
        <v>1435</v>
      </c>
    </row>
    <row r="1359" spans="1:1" x14ac:dyDescent="0.25">
      <c r="A1359" s="11" t="s">
        <v>1436</v>
      </c>
    </row>
    <row r="1360" spans="1:1" x14ac:dyDescent="0.25">
      <c r="A1360" s="11" t="s">
        <v>1437</v>
      </c>
    </row>
    <row r="1361" spans="1:1" x14ac:dyDescent="0.25">
      <c r="A1361" s="11" t="s">
        <v>1438</v>
      </c>
    </row>
    <row r="1362" spans="1:1" x14ac:dyDescent="0.25">
      <c r="A1362" s="11" t="s">
        <v>1439</v>
      </c>
    </row>
    <row r="1363" spans="1:1" x14ac:dyDescent="0.25">
      <c r="A1363" s="11" t="s">
        <v>1440</v>
      </c>
    </row>
    <row r="1364" spans="1:1" x14ac:dyDescent="0.25">
      <c r="A1364" s="11" t="s">
        <v>1441</v>
      </c>
    </row>
    <row r="1365" spans="1:1" x14ac:dyDescent="0.25">
      <c r="A1365" s="11" t="s">
        <v>1442</v>
      </c>
    </row>
    <row r="1366" spans="1:1" x14ac:dyDescent="0.25">
      <c r="A1366" s="11" t="s">
        <v>1443</v>
      </c>
    </row>
    <row r="1367" spans="1:1" x14ac:dyDescent="0.25">
      <c r="A1367" s="11" t="s">
        <v>1444</v>
      </c>
    </row>
    <row r="1368" spans="1:1" x14ac:dyDescent="0.25">
      <c r="A1368" s="11" t="s">
        <v>1445</v>
      </c>
    </row>
    <row r="1369" spans="1:1" x14ac:dyDescent="0.25">
      <c r="A1369" s="11" t="s">
        <v>1446</v>
      </c>
    </row>
    <row r="1370" spans="1:1" x14ac:dyDescent="0.25">
      <c r="A1370" s="11" t="s">
        <v>1447</v>
      </c>
    </row>
    <row r="1371" spans="1:1" x14ac:dyDescent="0.25">
      <c r="A1371" s="11" t="s">
        <v>1448</v>
      </c>
    </row>
    <row r="1372" spans="1:1" x14ac:dyDescent="0.25">
      <c r="A1372" s="11" t="s">
        <v>1449</v>
      </c>
    </row>
    <row r="1373" spans="1:1" x14ac:dyDescent="0.25">
      <c r="A1373" s="11" t="s">
        <v>1450</v>
      </c>
    </row>
    <row r="1374" spans="1:1" x14ac:dyDescent="0.25">
      <c r="A1374" s="11" t="s">
        <v>1451</v>
      </c>
    </row>
    <row r="1375" spans="1:1" x14ac:dyDescent="0.25">
      <c r="A1375" s="11" t="s">
        <v>1452</v>
      </c>
    </row>
    <row r="1376" spans="1:1" x14ac:dyDescent="0.25">
      <c r="A1376" s="11" t="s">
        <v>1453</v>
      </c>
    </row>
    <row r="1377" spans="1:1" x14ac:dyDescent="0.25">
      <c r="A1377" s="11" t="s">
        <v>1454</v>
      </c>
    </row>
    <row r="1378" spans="1:1" x14ac:dyDescent="0.25">
      <c r="A1378" s="11" t="s">
        <v>1455</v>
      </c>
    </row>
    <row r="1379" spans="1:1" x14ac:dyDescent="0.25">
      <c r="A1379" s="11" t="s">
        <v>1456</v>
      </c>
    </row>
    <row r="1380" spans="1:1" x14ac:dyDescent="0.25">
      <c r="A1380" s="11" t="s">
        <v>1457</v>
      </c>
    </row>
    <row r="1381" spans="1:1" x14ac:dyDescent="0.25">
      <c r="A1381" s="11" t="s">
        <v>1458</v>
      </c>
    </row>
    <row r="1382" spans="1:1" x14ac:dyDescent="0.25">
      <c r="A1382" s="11" t="s">
        <v>1459</v>
      </c>
    </row>
    <row r="1383" spans="1:1" x14ac:dyDescent="0.25">
      <c r="A1383" s="11" t="s">
        <v>1460</v>
      </c>
    </row>
    <row r="1384" spans="1:1" x14ac:dyDescent="0.25">
      <c r="A1384" s="11" t="s">
        <v>1461</v>
      </c>
    </row>
    <row r="1385" spans="1:1" x14ac:dyDescent="0.25">
      <c r="A1385" s="11" t="s">
        <v>1462</v>
      </c>
    </row>
    <row r="1386" spans="1:1" x14ac:dyDescent="0.25">
      <c r="A1386" s="11" t="s">
        <v>1463</v>
      </c>
    </row>
    <row r="1387" spans="1:1" x14ac:dyDescent="0.25">
      <c r="A1387" s="11" t="s">
        <v>1464</v>
      </c>
    </row>
    <row r="1388" spans="1:1" x14ac:dyDescent="0.25">
      <c r="A1388" s="11" t="s">
        <v>1465</v>
      </c>
    </row>
    <row r="1389" spans="1:1" x14ac:dyDescent="0.25">
      <c r="A1389" s="11" t="s">
        <v>1466</v>
      </c>
    </row>
    <row r="1390" spans="1:1" x14ac:dyDescent="0.25">
      <c r="A1390" s="11" t="s">
        <v>1467</v>
      </c>
    </row>
    <row r="1391" spans="1:1" x14ac:dyDescent="0.25">
      <c r="A1391" s="11" t="s">
        <v>1468</v>
      </c>
    </row>
    <row r="1392" spans="1:1" x14ac:dyDescent="0.25">
      <c r="A1392" s="11" t="s">
        <v>1469</v>
      </c>
    </row>
    <row r="1393" spans="1:1" x14ac:dyDescent="0.25">
      <c r="A1393" s="11" t="s">
        <v>1470</v>
      </c>
    </row>
    <row r="1394" spans="1:1" x14ac:dyDescent="0.25">
      <c r="A1394" s="11" t="s">
        <v>1471</v>
      </c>
    </row>
    <row r="1395" spans="1:1" x14ac:dyDescent="0.25">
      <c r="A1395" s="11" t="s">
        <v>1472</v>
      </c>
    </row>
    <row r="1396" spans="1:1" x14ac:dyDescent="0.25">
      <c r="A1396" s="11" t="s">
        <v>1473</v>
      </c>
    </row>
    <row r="1397" spans="1:1" x14ac:dyDescent="0.25">
      <c r="A1397" s="11" t="s">
        <v>1474</v>
      </c>
    </row>
    <row r="1398" spans="1:1" x14ac:dyDescent="0.25">
      <c r="A1398" s="11" t="s">
        <v>1475</v>
      </c>
    </row>
    <row r="1399" spans="1:1" x14ac:dyDescent="0.25">
      <c r="A1399" s="11" t="s">
        <v>1476</v>
      </c>
    </row>
    <row r="1400" spans="1:1" x14ac:dyDescent="0.25">
      <c r="A1400" s="11" t="s">
        <v>1477</v>
      </c>
    </row>
    <row r="1401" spans="1:1" x14ac:dyDescent="0.25">
      <c r="A1401" s="11" t="s">
        <v>1478</v>
      </c>
    </row>
    <row r="1402" spans="1:1" x14ac:dyDescent="0.25">
      <c r="A1402" s="11" t="s">
        <v>1479</v>
      </c>
    </row>
    <row r="1403" spans="1:1" x14ac:dyDescent="0.25">
      <c r="A1403" s="11" t="s">
        <v>1480</v>
      </c>
    </row>
    <row r="1404" spans="1:1" x14ac:dyDescent="0.25">
      <c r="A1404" s="11" t="s">
        <v>1481</v>
      </c>
    </row>
    <row r="1405" spans="1:1" x14ac:dyDescent="0.25">
      <c r="A1405" s="11" t="s">
        <v>1482</v>
      </c>
    </row>
    <row r="1406" spans="1:1" x14ac:dyDescent="0.25">
      <c r="A1406" s="11" t="s">
        <v>1483</v>
      </c>
    </row>
    <row r="1407" spans="1:1" x14ac:dyDescent="0.25">
      <c r="A1407" s="11" t="s">
        <v>1484</v>
      </c>
    </row>
    <row r="1408" spans="1:1" x14ac:dyDescent="0.25">
      <c r="A1408" s="11" t="s">
        <v>1485</v>
      </c>
    </row>
    <row r="1409" spans="1:1" x14ac:dyDescent="0.25">
      <c r="A1409" s="11" t="s">
        <v>1486</v>
      </c>
    </row>
    <row r="1410" spans="1:1" x14ac:dyDescent="0.25">
      <c r="A1410" s="11" t="s">
        <v>1487</v>
      </c>
    </row>
    <row r="1411" spans="1:1" x14ac:dyDescent="0.25">
      <c r="A1411" s="11" t="s">
        <v>1488</v>
      </c>
    </row>
    <row r="1412" spans="1:1" x14ac:dyDescent="0.25">
      <c r="A1412" s="11" t="s">
        <v>1489</v>
      </c>
    </row>
    <row r="1413" spans="1:1" x14ac:dyDescent="0.25">
      <c r="A1413" s="11" t="s">
        <v>1490</v>
      </c>
    </row>
    <row r="1414" spans="1:1" x14ac:dyDescent="0.25">
      <c r="A1414" s="11" t="s">
        <v>1491</v>
      </c>
    </row>
    <row r="1415" spans="1:1" x14ac:dyDescent="0.25">
      <c r="A1415" s="11" t="s">
        <v>1492</v>
      </c>
    </row>
    <row r="1416" spans="1:1" x14ac:dyDescent="0.25">
      <c r="A1416" s="11" t="s">
        <v>1493</v>
      </c>
    </row>
    <row r="1417" spans="1:1" x14ac:dyDescent="0.25">
      <c r="A1417" s="11" t="s">
        <v>1494</v>
      </c>
    </row>
    <row r="1418" spans="1:1" x14ac:dyDescent="0.25">
      <c r="A1418" s="11" t="s">
        <v>1495</v>
      </c>
    </row>
    <row r="1419" spans="1:1" x14ac:dyDescent="0.25">
      <c r="A1419" s="11" t="s">
        <v>1496</v>
      </c>
    </row>
    <row r="1420" spans="1:1" x14ac:dyDescent="0.25">
      <c r="A1420" s="11" t="s">
        <v>1497</v>
      </c>
    </row>
    <row r="1421" spans="1:1" x14ac:dyDescent="0.25">
      <c r="A1421" s="11" t="s">
        <v>1498</v>
      </c>
    </row>
    <row r="1422" spans="1:1" x14ac:dyDescent="0.25">
      <c r="A1422" s="11" t="s">
        <v>1499</v>
      </c>
    </row>
    <row r="1423" spans="1:1" x14ac:dyDescent="0.25">
      <c r="A1423" s="11" t="s">
        <v>1500</v>
      </c>
    </row>
    <row r="1424" spans="1:1" x14ac:dyDescent="0.25">
      <c r="A1424" s="11" t="s">
        <v>1501</v>
      </c>
    </row>
    <row r="1425" spans="1:1" x14ac:dyDescent="0.25">
      <c r="A1425" s="11" t="s">
        <v>1502</v>
      </c>
    </row>
    <row r="1426" spans="1:1" x14ac:dyDescent="0.25">
      <c r="A1426" s="11" t="s">
        <v>1503</v>
      </c>
    </row>
    <row r="1427" spans="1:1" x14ac:dyDescent="0.25">
      <c r="A1427" s="11" t="s">
        <v>1504</v>
      </c>
    </row>
    <row r="1428" spans="1:1" x14ac:dyDescent="0.25">
      <c r="A1428" s="11" t="s">
        <v>1505</v>
      </c>
    </row>
    <row r="1429" spans="1:1" x14ac:dyDescent="0.25">
      <c r="A1429" s="11" t="s">
        <v>1506</v>
      </c>
    </row>
    <row r="1430" spans="1:1" x14ac:dyDescent="0.25">
      <c r="A1430" s="11" t="s">
        <v>1507</v>
      </c>
    </row>
    <row r="1431" spans="1:1" x14ac:dyDescent="0.25">
      <c r="A1431" s="11" t="s">
        <v>1508</v>
      </c>
    </row>
    <row r="1432" spans="1:1" x14ac:dyDescent="0.25">
      <c r="A1432" s="11" t="s">
        <v>1509</v>
      </c>
    </row>
    <row r="1433" spans="1:1" x14ac:dyDescent="0.25">
      <c r="A1433" s="11" t="s">
        <v>1510</v>
      </c>
    </row>
    <row r="1434" spans="1:1" x14ac:dyDescent="0.25">
      <c r="A1434" s="11" t="s">
        <v>1511</v>
      </c>
    </row>
    <row r="1435" spans="1:1" x14ac:dyDescent="0.25">
      <c r="A1435" s="11" t="s">
        <v>1512</v>
      </c>
    </row>
    <row r="1436" spans="1:1" x14ac:dyDescent="0.25">
      <c r="A1436" s="11" t="s">
        <v>1513</v>
      </c>
    </row>
    <row r="1437" spans="1:1" x14ac:dyDescent="0.25">
      <c r="A1437" s="11" t="s">
        <v>1514</v>
      </c>
    </row>
    <row r="1438" spans="1:1" x14ac:dyDescent="0.25">
      <c r="A1438" s="11" t="s">
        <v>1515</v>
      </c>
    </row>
    <row r="1439" spans="1:1" x14ac:dyDescent="0.25">
      <c r="A1439" s="11" t="s">
        <v>1516</v>
      </c>
    </row>
    <row r="1440" spans="1:1" x14ac:dyDescent="0.25">
      <c r="A1440" s="11" t="s">
        <v>1517</v>
      </c>
    </row>
    <row r="1441" spans="1:1" x14ac:dyDescent="0.25">
      <c r="A1441" s="11" t="s">
        <v>1518</v>
      </c>
    </row>
    <row r="1442" spans="1:1" x14ac:dyDescent="0.25">
      <c r="A1442" s="11" t="s">
        <v>1519</v>
      </c>
    </row>
    <row r="1443" spans="1:1" x14ac:dyDescent="0.25">
      <c r="A1443" s="11" t="s">
        <v>1520</v>
      </c>
    </row>
    <row r="1444" spans="1:1" x14ac:dyDescent="0.25">
      <c r="A1444" s="11" t="s">
        <v>1521</v>
      </c>
    </row>
    <row r="1445" spans="1:1" x14ac:dyDescent="0.25">
      <c r="A1445" s="11" t="s">
        <v>1522</v>
      </c>
    </row>
    <row r="1446" spans="1:1" x14ac:dyDescent="0.25">
      <c r="A1446" s="11" t="s">
        <v>1523</v>
      </c>
    </row>
    <row r="1447" spans="1:1" x14ac:dyDescent="0.25">
      <c r="A1447" s="11" t="s">
        <v>1524</v>
      </c>
    </row>
    <row r="1448" spans="1:1" x14ac:dyDescent="0.25">
      <c r="A1448" s="11" t="s">
        <v>1525</v>
      </c>
    </row>
    <row r="1449" spans="1:1" x14ac:dyDescent="0.25">
      <c r="A1449" s="11" t="s">
        <v>1526</v>
      </c>
    </row>
    <row r="1450" spans="1:1" x14ac:dyDescent="0.25">
      <c r="A1450" s="11" t="s">
        <v>1527</v>
      </c>
    </row>
    <row r="1451" spans="1:1" x14ac:dyDescent="0.25">
      <c r="A1451" s="11" t="s">
        <v>1528</v>
      </c>
    </row>
    <row r="1452" spans="1:1" x14ac:dyDescent="0.25">
      <c r="A1452" s="11" t="s">
        <v>1529</v>
      </c>
    </row>
    <row r="1453" spans="1:1" x14ac:dyDescent="0.25">
      <c r="A1453" s="11" t="s">
        <v>1530</v>
      </c>
    </row>
    <row r="1454" spans="1:1" x14ac:dyDescent="0.25">
      <c r="A1454" s="11" t="s">
        <v>1531</v>
      </c>
    </row>
    <row r="1455" spans="1:1" x14ac:dyDescent="0.25">
      <c r="A1455" s="11" t="s">
        <v>1532</v>
      </c>
    </row>
    <row r="1456" spans="1:1" x14ac:dyDescent="0.25">
      <c r="A1456" s="11" t="s">
        <v>1533</v>
      </c>
    </row>
    <row r="1457" spans="1:1" x14ac:dyDescent="0.25">
      <c r="A1457" s="11" t="s">
        <v>1534</v>
      </c>
    </row>
    <row r="1458" spans="1:1" x14ac:dyDescent="0.25">
      <c r="A1458" s="11" t="s">
        <v>1535</v>
      </c>
    </row>
    <row r="1459" spans="1:1" x14ac:dyDescent="0.25">
      <c r="A1459" s="11" t="s">
        <v>1536</v>
      </c>
    </row>
    <row r="1460" spans="1:1" x14ac:dyDescent="0.25">
      <c r="A1460" s="11" t="s">
        <v>1537</v>
      </c>
    </row>
    <row r="1461" spans="1:1" x14ac:dyDescent="0.25">
      <c r="A1461" s="11" t="s">
        <v>1538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82040-C9A7-4160-B7FC-A676CC2B2DAB}">
  <dimension ref="A1:BV106"/>
  <sheetViews>
    <sheetView tabSelected="1" workbookViewId="0">
      <pane xSplit="13" ySplit="5" topLeftCell="N6" activePane="bottomRight" state="frozen"/>
      <selection pane="topRight" activeCell="N1" sqref="N1"/>
      <selection pane="bottomLeft" activeCell="A6" sqref="A6"/>
      <selection pane="bottomRight" activeCell="N6" sqref="N6"/>
    </sheetView>
  </sheetViews>
  <sheetFormatPr baseColWidth="10" defaultRowHeight="15" x14ac:dyDescent="0.25"/>
  <cols>
    <col min="14" max="74" width="8.7109375" customWidth="1"/>
  </cols>
  <sheetData>
    <row r="1" spans="1:74" ht="28.5" x14ac:dyDescent="0.45">
      <c r="A1" s="2" t="s">
        <v>0</v>
      </c>
      <c r="B1" s="1"/>
      <c r="C1" s="1"/>
      <c r="D1" s="1"/>
      <c r="E1" s="1"/>
      <c r="F1" s="1"/>
      <c r="G1" s="5" t="s">
        <v>2</v>
      </c>
      <c r="H1" s="1"/>
      <c r="I1" s="5" t="s">
        <v>3</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74" ht="18.75" x14ac:dyDescent="0.3">
      <c r="A2" s="1"/>
      <c r="B2" s="3" t="s">
        <v>1</v>
      </c>
      <c r="C2" s="1"/>
      <c r="D2" s="4">
        <v>46057</v>
      </c>
      <c r="E2" s="1"/>
      <c r="F2" s="1"/>
      <c r="G2" s="6">
        <f>SUM(D6:D1000)</f>
        <v>0</v>
      </c>
      <c r="H2" s="1"/>
      <c r="I2" s="7">
        <f>SUM(E6:E1000)</f>
        <v>0</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74"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74"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74" x14ac:dyDescent="0.25">
      <c r="A5" s="8" t="s">
        <v>4</v>
      </c>
      <c r="B5" s="8" t="s">
        <v>5</v>
      </c>
      <c r="C5" s="8" t="s">
        <v>6</v>
      </c>
      <c r="D5" s="8" t="s">
        <v>7</v>
      </c>
      <c r="E5" s="8" t="s">
        <v>8</v>
      </c>
      <c r="F5" s="8" t="s">
        <v>9</v>
      </c>
      <c r="G5" s="8" t="s">
        <v>10</v>
      </c>
      <c r="H5" s="8" t="s">
        <v>11</v>
      </c>
      <c r="I5" s="8" t="s">
        <v>12</v>
      </c>
      <c r="J5" s="8" t="s">
        <v>13</v>
      </c>
      <c r="K5" s="8" t="s">
        <v>14</v>
      </c>
      <c r="L5" s="8" t="s">
        <v>15</v>
      </c>
      <c r="M5" s="8" t="s">
        <v>16</v>
      </c>
      <c r="N5" s="9" t="s">
        <v>17</v>
      </c>
      <c r="O5" s="10" t="s">
        <v>18</v>
      </c>
      <c r="P5" s="10" t="s">
        <v>19</v>
      </c>
      <c r="Q5" s="10" t="s">
        <v>20</v>
      </c>
      <c r="R5" s="10" t="s">
        <v>21</v>
      </c>
      <c r="S5" s="10" t="s">
        <v>22</v>
      </c>
      <c r="T5" s="10" t="s">
        <v>23</v>
      </c>
      <c r="U5" s="9" t="s">
        <v>24</v>
      </c>
      <c r="V5" s="10" t="s">
        <v>25</v>
      </c>
      <c r="W5" s="10" t="s">
        <v>26</v>
      </c>
      <c r="X5" s="10" t="s">
        <v>27</v>
      </c>
      <c r="Y5" s="10" t="s">
        <v>28</v>
      </c>
      <c r="Z5" s="10" t="s">
        <v>29</v>
      </c>
      <c r="AA5" s="10" t="s">
        <v>30</v>
      </c>
      <c r="AB5" s="9" t="s">
        <v>31</v>
      </c>
      <c r="AC5" s="10" t="s">
        <v>32</v>
      </c>
      <c r="AD5" s="10" t="s">
        <v>33</v>
      </c>
      <c r="AE5" s="10" t="s">
        <v>34</v>
      </c>
      <c r="AF5" s="10" t="s">
        <v>35</v>
      </c>
      <c r="AG5" s="10" t="s">
        <v>36</v>
      </c>
      <c r="AH5" s="10" t="s">
        <v>37</v>
      </c>
      <c r="AI5" s="9" t="s">
        <v>38</v>
      </c>
      <c r="AJ5" s="10" t="s">
        <v>39</v>
      </c>
      <c r="AK5" s="10" t="s">
        <v>40</v>
      </c>
      <c r="AL5" s="10" t="s">
        <v>41</v>
      </c>
      <c r="AM5" s="10" t="s">
        <v>42</v>
      </c>
      <c r="AN5" s="10" t="s">
        <v>43</v>
      </c>
      <c r="AO5" s="10" t="s">
        <v>44</v>
      </c>
      <c r="AP5" s="9" t="s">
        <v>45</v>
      </c>
      <c r="AQ5" s="10" t="s">
        <v>46</v>
      </c>
      <c r="AR5" s="10" t="s">
        <v>47</v>
      </c>
      <c r="AS5" s="10" t="s">
        <v>48</v>
      </c>
      <c r="AT5" s="10" t="s">
        <v>49</v>
      </c>
      <c r="AU5" s="10" t="s">
        <v>50</v>
      </c>
      <c r="AV5" s="10" t="s">
        <v>51</v>
      </c>
      <c r="AW5" s="9" t="s">
        <v>52</v>
      </c>
      <c r="AX5" s="10" t="s">
        <v>53</v>
      </c>
      <c r="AY5" s="10" t="s">
        <v>54</v>
      </c>
      <c r="AZ5" s="10" t="s">
        <v>55</v>
      </c>
      <c r="BA5" s="10" t="s">
        <v>56</v>
      </c>
      <c r="BB5" s="10" t="s">
        <v>57</v>
      </c>
      <c r="BC5" s="10" t="s">
        <v>58</v>
      </c>
      <c r="BD5" s="9" t="s">
        <v>59</v>
      </c>
      <c r="BE5" s="10" t="s">
        <v>60</v>
      </c>
      <c r="BF5" s="10" t="s">
        <v>61</v>
      </c>
      <c r="BG5" s="10" t="s">
        <v>62</v>
      </c>
      <c r="BH5" s="10" t="s">
        <v>63</v>
      </c>
      <c r="BI5" s="10" t="s">
        <v>64</v>
      </c>
      <c r="BJ5" s="10" t="s">
        <v>65</v>
      </c>
      <c r="BK5" s="9" t="s">
        <v>66</v>
      </c>
      <c r="BL5" s="10" t="s">
        <v>67</v>
      </c>
      <c r="BM5" s="10" t="s">
        <v>68</v>
      </c>
      <c r="BN5" s="10" t="s">
        <v>69</v>
      </c>
      <c r="BO5" s="10" t="s">
        <v>70</v>
      </c>
      <c r="BP5" s="10" t="s">
        <v>71</v>
      </c>
      <c r="BQ5" s="10" t="s">
        <v>72</v>
      </c>
      <c r="BR5" s="9" t="s">
        <v>73</v>
      </c>
      <c r="BS5" s="10" t="s">
        <v>74</v>
      </c>
      <c r="BT5" s="10" t="s">
        <v>75</v>
      </c>
      <c r="BU5" s="10" t="s">
        <v>76</v>
      </c>
      <c r="BV5" s="10" t="s">
        <v>77</v>
      </c>
    </row>
    <row r="6" spans="1:74" x14ac:dyDescent="0.25">
      <c r="A6" s="12">
        <v>1</v>
      </c>
      <c r="B6" s="13"/>
      <c r="C6" s="12"/>
      <c r="D6" s="14"/>
      <c r="E6" s="14" t="str">
        <f>IF(D6="","",ROUND(D6*0.2,0))</f>
        <v/>
      </c>
      <c r="F6" s="14" t="str">
        <f>IF(D6="","",D6+E6)</f>
        <v/>
      </c>
      <c r="G6" s="12">
        <v>6</v>
      </c>
      <c r="H6" s="15" t="e">
        <f>IF(G6="","",ROUND(F6/G6,0))</f>
        <v>#VALUE!</v>
      </c>
      <c r="I6" s="13" t="str">
        <f>IF(B6="","",WORKDAY.INTL(B6,G6,11))</f>
        <v/>
      </c>
      <c r="J6" s="14">
        <f>SUM(N6:BN6)</f>
        <v>0</v>
      </c>
      <c r="K6" s="14" t="str">
        <f>IF(F6="","",F6-J6)</f>
        <v/>
      </c>
      <c r="L6" s="12" t="str">
        <f>IF(OR(D6="",B6=""),"",IF(K6&lt;=0,"PAGADO",IF(M6&lt;=0,"AL DIA",IF(M6&lt;=1,"PENDIENTE","EN MORA"))))</f>
        <v/>
      </c>
      <c r="M6" s="12" t="str">
        <f>IF(OR(D6="",B6=""),"",MAX(0,NETWORKDAYS.INTL(B6,$D$2,11) - ROUND(J6/H6,0)))</f>
        <v/>
      </c>
    </row>
    <row r="7" spans="1:74" x14ac:dyDescent="0.25">
      <c r="A7" s="12">
        <v>2</v>
      </c>
      <c r="B7" s="13"/>
      <c r="C7" s="12"/>
      <c r="D7" s="14"/>
      <c r="E7" s="14" t="str">
        <f>IF(D7="","",ROUND(D7*0.2,0))</f>
        <v/>
      </c>
      <c r="F7" s="14" t="str">
        <f>IF(D7="","",D7+E7)</f>
        <v/>
      </c>
      <c r="G7" s="12">
        <v>6</v>
      </c>
      <c r="H7" s="15" t="e">
        <f>IF(G7="","",ROUND(F7/G7,0))</f>
        <v>#VALUE!</v>
      </c>
      <c r="I7" s="13" t="str">
        <f>IF(B7="","",WORKDAY.INTL(B7,G7,11))</f>
        <v/>
      </c>
      <c r="J7" s="14">
        <f>SUM(N7:BN7)</f>
        <v>0</v>
      </c>
      <c r="K7" s="14" t="str">
        <f>IF(F7="","",F7-J7)</f>
        <v/>
      </c>
      <c r="L7" s="12" t="str">
        <f>IF(OR(D7="",B7=""),"",IF(K7&lt;=0,"PAGADO",IF(M7&lt;=0,"AL DIA",IF(M7&lt;=1,"PENDIENTE","EN MORA"))))</f>
        <v/>
      </c>
      <c r="M7" s="12" t="str">
        <f>IF(OR(D7="",B7=""),"",MAX(0,NETWORKDAYS.INTL(B7,$D$2,11) - ROUND(J7/H7,0)))</f>
        <v/>
      </c>
    </row>
    <row r="8" spans="1:74" x14ac:dyDescent="0.25">
      <c r="A8" s="12">
        <v>3</v>
      </c>
      <c r="B8" s="13"/>
      <c r="C8" s="12"/>
      <c r="D8" s="14"/>
      <c r="E8" s="14" t="str">
        <f>IF(D8="","",ROUND(D8*0.2,0))</f>
        <v/>
      </c>
      <c r="F8" s="14" t="str">
        <f>IF(D8="","",D8+E8)</f>
        <v/>
      </c>
      <c r="G8" s="12">
        <v>6</v>
      </c>
      <c r="H8" s="15" t="e">
        <f>IF(G8="","",ROUND(F8/G8,0))</f>
        <v>#VALUE!</v>
      </c>
      <c r="I8" s="13" t="str">
        <f>IF(B8="","",WORKDAY.INTL(B8,G8,11))</f>
        <v/>
      </c>
      <c r="J8" s="14">
        <f>SUM(N8:BN8)</f>
        <v>0</v>
      </c>
      <c r="K8" s="14" t="str">
        <f>IF(F8="","",F8-J8)</f>
        <v/>
      </c>
      <c r="L8" s="12" t="str">
        <f>IF(OR(D8="",B8=""),"",IF(K8&lt;=0,"PAGADO",IF(M8&lt;=0,"AL DIA",IF(M8&lt;=1,"PENDIENTE","EN MORA"))))</f>
        <v/>
      </c>
      <c r="M8" s="12" t="str">
        <f>IF(OR(D8="",B8=""),"",MAX(0,NETWORKDAYS.INTL(B8,$D$2,11) - ROUND(J8/H8,0)))</f>
        <v/>
      </c>
    </row>
    <row r="9" spans="1:74" x14ac:dyDescent="0.25">
      <c r="A9" s="12">
        <v>4</v>
      </c>
      <c r="B9" s="13"/>
      <c r="C9" s="12"/>
      <c r="D9" s="14"/>
      <c r="E9" s="14" t="str">
        <f>IF(D9="","",ROUND(D9*0.2,0))</f>
        <v/>
      </c>
      <c r="F9" s="14" t="str">
        <f>IF(D9="","",D9+E9)</f>
        <v/>
      </c>
      <c r="G9" s="12">
        <v>6</v>
      </c>
      <c r="H9" s="15" t="e">
        <f>IF(G9="","",ROUND(F9/G9,0))</f>
        <v>#VALUE!</v>
      </c>
      <c r="I9" s="13" t="str">
        <f>IF(B9="","",WORKDAY.INTL(B9,G9,11))</f>
        <v/>
      </c>
      <c r="J9" s="14">
        <f>SUM(N9:BN9)</f>
        <v>0</v>
      </c>
      <c r="K9" s="14" t="str">
        <f>IF(F9="","",F9-J9)</f>
        <v/>
      </c>
      <c r="L9" s="12" t="str">
        <f>IF(OR(D9="",B9=""),"",IF(K9&lt;=0,"PAGADO",IF(M9&lt;=0,"AL DIA",IF(M9&lt;=1,"PENDIENTE","EN MORA"))))</f>
        <v/>
      </c>
      <c r="M9" s="12" t="str">
        <f>IF(OR(D9="",B9=""),"",MAX(0,NETWORKDAYS.INTL(B9,$D$2,11) - ROUND(J9/H9,0)))</f>
        <v/>
      </c>
    </row>
    <row r="10" spans="1:74" x14ac:dyDescent="0.25">
      <c r="A10" s="12">
        <v>5</v>
      </c>
      <c r="B10" s="13"/>
      <c r="C10" s="12"/>
      <c r="D10" s="14"/>
      <c r="E10" s="14" t="str">
        <f>IF(D10="","",ROUND(D10*0.2,0))</f>
        <v/>
      </c>
      <c r="F10" s="14" t="str">
        <f>IF(D10="","",D10+E10)</f>
        <v/>
      </c>
      <c r="G10" s="12">
        <v>6</v>
      </c>
      <c r="H10" s="15" t="e">
        <f>IF(G10="","",ROUND(F10/G10,0))</f>
        <v>#VALUE!</v>
      </c>
      <c r="I10" s="13" t="str">
        <f>IF(B10="","",WORKDAY.INTL(B10,G10,11))</f>
        <v/>
      </c>
      <c r="J10" s="14">
        <f>SUM(N10:BN10)</f>
        <v>0</v>
      </c>
      <c r="K10" s="14" t="str">
        <f>IF(F10="","",F10-J10)</f>
        <v/>
      </c>
      <c r="L10" s="12" t="str">
        <f>IF(OR(D10="",B10=""),"",IF(K10&lt;=0,"PAGADO",IF(M10&lt;=0,"AL DIA",IF(M10&lt;=1,"PENDIENTE","EN MORA"))))</f>
        <v/>
      </c>
      <c r="M10" s="12" t="str">
        <f>IF(OR(D10="",B10=""),"",MAX(0,NETWORKDAYS.INTL(B10,$D$2,11) - ROUND(J10/H10,0)))</f>
        <v/>
      </c>
    </row>
    <row r="11" spans="1:74" x14ac:dyDescent="0.25">
      <c r="A11" s="12">
        <v>6</v>
      </c>
      <c r="B11" s="13"/>
      <c r="C11" s="12"/>
      <c r="D11" s="14"/>
      <c r="E11" s="14" t="str">
        <f>IF(D11="","",ROUND(D11*0.2,0))</f>
        <v/>
      </c>
      <c r="F11" s="14" t="str">
        <f>IF(D11="","",D11+E11)</f>
        <v/>
      </c>
      <c r="G11" s="12">
        <v>6</v>
      </c>
      <c r="H11" s="15" t="e">
        <f>IF(G11="","",ROUND(F11/G11,0))</f>
        <v>#VALUE!</v>
      </c>
      <c r="I11" s="13" t="str">
        <f>IF(B11="","",WORKDAY.INTL(B11,G11,11))</f>
        <v/>
      </c>
      <c r="J11" s="14">
        <f>SUM(N11:BN11)</f>
        <v>0</v>
      </c>
      <c r="K11" s="14" t="str">
        <f>IF(F11="","",F11-J11)</f>
        <v/>
      </c>
      <c r="L11" s="12" t="str">
        <f>IF(OR(D11="",B11=""),"",IF(K11&lt;=0,"PAGADO",IF(M11&lt;=0,"AL DIA",IF(M11&lt;=1,"PENDIENTE","EN MORA"))))</f>
        <v/>
      </c>
      <c r="M11" s="12" t="str">
        <f>IF(OR(D11="",B11=""),"",MAX(0,NETWORKDAYS.INTL(B11,$D$2,11) - ROUND(J11/H11,0)))</f>
        <v/>
      </c>
    </row>
    <row r="12" spans="1:74" x14ac:dyDescent="0.25">
      <c r="A12" s="12">
        <v>7</v>
      </c>
      <c r="B12" s="13"/>
      <c r="C12" s="12"/>
      <c r="D12" s="14"/>
      <c r="E12" s="14" t="str">
        <f>IF(D12="","",ROUND(D12*0.2,0))</f>
        <v/>
      </c>
      <c r="F12" s="14" t="str">
        <f>IF(D12="","",D12+E12)</f>
        <v/>
      </c>
      <c r="G12" s="12">
        <v>6</v>
      </c>
      <c r="H12" s="15" t="e">
        <f>IF(G12="","",ROUND(F12/G12,0))</f>
        <v>#VALUE!</v>
      </c>
      <c r="I12" s="13" t="str">
        <f>IF(B12="","",WORKDAY.INTL(B12,G12,11))</f>
        <v/>
      </c>
      <c r="J12" s="14">
        <f>SUM(N12:BN12)</f>
        <v>0</v>
      </c>
      <c r="K12" s="14" t="str">
        <f>IF(F12="","",F12-J12)</f>
        <v/>
      </c>
      <c r="L12" s="12" t="str">
        <f>IF(OR(D12="",B12=""),"",IF(K12&lt;=0,"PAGADO",IF(M12&lt;=0,"AL DIA",IF(M12&lt;=1,"PENDIENTE","EN MORA"))))</f>
        <v/>
      </c>
      <c r="M12" s="12" t="str">
        <f>IF(OR(D12="",B12=""),"",MAX(0,NETWORKDAYS.INTL(B12,$D$2,11) - ROUND(J12/H12,0)))</f>
        <v/>
      </c>
    </row>
    <row r="13" spans="1:74" x14ac:dyDescent="0.25">
      <c r="A13" s="12">
        <v>8</v>
      </c>
      <c r="B13" s="13"/>
      <c r="C13" s="12"/>
      <c r="D13" s="14"/>
      <c r="E13" s="14" t="str">
        <f>IF(D13="","",ROUND(D13*0.2,0))</f>
        <v/>
      </c>
      <c r="F13" s="14" t="str">
        <f>IF(D13="","",D13+E13)</f>
        <v/>
      </c>
      <c r="G13" s="12">
        <v>6</v>
      </c>
      <c r="H13" s="15" t="e">
        <f>IF(G13="","",ROUND(F13/G13,0))</f>
        <v>#VALUE!</v>
      </c>
      <c r="I13" s="13" t="str">
        <f>IF(B13="","",WORKDAY.INTL(B13,G13,11))</f>
        <v/>
      </c>
      <c r="J13" s="14">
        <f>SUM(N13:BN13)</f>
        <v>0</v>
      </c>
      <c r="K13" s="14" t="str">
        <f>IF(F13="","",F13-J13)</f>
        <v/>
      </c>
      <c r="L13" s="12" t="str">
        <f>IF(OR(D13="",B13=""),"",IF(K13&lt;=0,"PAGADO",IF(M13&lt;=0,"AL DIA",IF(M13&lt;=1,"PENDIENTE","EN MORA"))))</f>
        <v/>
      </c>
      <c r="M13" s="12" t="str">
        <f>IF(OR(D13="",B13=""),"",MAX(0,NETWORKDAYS.INTL(B13,$D$2,11) - ROUND(J13/H13,0)))</f>
        <v/>
      </c>
    </row>
    <row r="14" spans="1:74" x14ac:dyDescent="0.25">
      <c r="A14" s="12">
        <v>9</v>
      </c>
      <c r="B14" s="13"/>
      <c r="C14" s="12"/>
      <c r="D14" s="14"/>
      <c r="E14" s="14" t="str">
        <f>IF(D14="","",ROUND(D14*0.2,0))</f>
        <v/>
      </c>
      <c r="F14" s="14" t="str">
        <f>IF(D14="","",D14+E14)</f>
        <v/>
      </c>
      <c r="G14" s="12">
        <v>6</v>
      </c>
      <c r="H14" s="15" t="e">
        <f>IF(G14="","",ROUND(F14/G14,0))</f>
        <v>#VALUE!</v>
      </c>
      <c r="I14" s="13" t="str">
        <f>IF(B14="","",WORKDAY.INTL(B14,G14,11))</f>
        <v/>
      </c>
      <c r="J14" s="14">
        <f>SUM(N14:BN14)</f>
        <v>0</v>
      </c>
      <c r="K14" s="14" t="str">
        <f>IF(F14="","",F14-J14)</f>
        <v/>
      </c>
      <c r="L14" s="12" t="str">
        <f>IF(OR(D14="",B14=""),"",IF(K14&lt;=0,"PAGADO",IF(M14&lt;=0,"AL DIA",IF(M14&lt;=1,"PENDIENTE","EN MORA"))))</f>
        <v/>
      </c>
      <c r="M14" s="12" t="str">
        <f>IF(OR(D14="",B14=""),"",MAX(0,NETWORKDAYS.INTL(B14,$D$2,11) - ROUND(J14/H14,0)))</f>
        <v/>
      </c>
    </row>
    <row r="15" spans="1:74" x14ac:dyDescent="0.25">
      <c r="A15" s="12">
        <v>10</v>
      </c>
      <c r="B15" s="13"/>
      <c r="C15" s="12"/>
      <c r="D15" s="14"/>
      <c r="E15" s="14" t="str">
        <f>IF(D15="","",ROUND(D15*0.2,0))</f>
        <v/>
      </c>
      <c r="F15" s="14" t="str">
        <f>IF(D15="","",D15+E15)</f>
        <v/>
      </c>
      <c r="G15" s="12">
        <v>6</v>
      </c>
      <c r="H15" s="15" t="e">
        <f>IF(G15="","",ROUND(F15/G15,0))</f>
        <v>#VALUE!</v>
      </c>
      <c r="I15" s="13" t="str">
        <f>IF(B15="","",WORKDAY.INTL(B15,G15,11))</f>
        <v/>
      </c>
      <c r="J15" s="14">
        <f>SUM(N15:BN15)</f>
        <v>0</v>
      </c>
      <c r="K15" s="14" t="str">
        <f>IF(F15="","",F15-J15)</f>
        <v/>
      </c>
      <c r="L15" s="12" t="str">
        <f>IF(OR(D15="",B15=""),"",IF(K15&lt;=0,"PAGADO",IF(M15&lt;=0,"AL DIA",IF(M15&lt;=1,"PENDIENTE","EN MORA"))))</f>
        <v/>
      </c>
      <c r="M15" s="12" t="str">
        <f>IF(OR(D15="",B15=""),"",MAX(0,NETWORKDAYS.INTL(B15,$D$2,11) - ROUND(J15/H15,0)))</f>
        <v/>
      </c>
    </row>
    <row r="16" spans="1:74" x14ac:dyDescent="0.25">
      <c r="A16" s="12">
        <v>11</v>
      </c>
      <c r="B16" s="13"/>
      <c r="C16" s="12"/>
      <c r="D16" s="14"/>
      <c r="E16" s="14" t="str">
        <f>IF(D16="","",ROUND(D16*0.2,0))</f>
        <v/>
      </c>
      <c r="F16" s="14" t="str">
        <f>IF(D16="","",D16+E16)</f>
        <v/>
      </c>
      <c r="G16" s="12">
        <v>6</v>
      </c>
      <c r="H16" s="15" t="e">
        <f>IF(G16="","",ROUND(F16/G16,0))</f>
        <v>#VALUE!</v>
      </c>
      <c r="I16" s="13" t="str">
        <f>IF(B16="","",WORKDAY.INTL(B16,G16,11))</f>
        <v/>
      </c>
      <c r="J16" s="14">
        <f>SUM(N16:BN16)</f>
        <v>0</v>
      </c>
      <c r="K16" s="14" t="str">
        <f>IF(F16="","",F16-J16)</f>
        <v/>
      </c>
      <c r="L16" s="12" t="str">
        <f>IF(OR(D16="",B16=""),"",IF(K16&lt;=0,"PAGADO",IF(M16&lt;=0,"AL DIA",IF(M16&lt;=1,"PENDIENTE","EN MORA"))))</f>
        <v/>
      </c>
      <c r="M16" s="12" t="str">
        <f>IF(OR(D16="",B16=""),"",MAX(0,NETWORKDAYS.INTL(B16,$D$2,11) - ROUND(J16/H16,0)))</f>
        <v/>
      </c>
    </row>
    <row r="17" spans="1:13" x14ac:dyDescent="0.25">
      <c r="A17" s="12">
        <v>12</v>
      </c>
      <c r="B17" s="13"/>
      <c r="C17" s="12"/>
      <c r="D17" s="14"/>
      <c r="E17" s="14" t="str">
        <f>IF(D17="","",ROUND(D17*0.2,0))</f>
        <v/>
      </c>
      <c r="F17" s="14" t="str">
        <f>IF(D17="","",D17+E17)</f>
        <v/>
      </c>
      <c r="G17" s="12">
        <v>6</v>
      </c>
      <c r="H17" s="15" t="e">
        <f>IF(G17="","",ROUND(F17/G17,0))</f>
        <v>#VALUE!</v>
      </c>
      <c r="I17" s="13" t="str">
        <f>IF(B17="","",WORKDAY.INTL(B17,G17,11))</f>
        <v/>
      </c>
      <c r="J17" s="14">
        <f>SUM(N17:BN17)</f>
        <v>0</v>
      </c>
      <c r="K17" s="14" t="str">
        <f>IF(F17="","",F17-J17)</f>
        <v/>
      </c>
      <c r="L17" s="12" t="str">
        <f>IF(OR(D17="",B17=""),"",IF(K17&lt;=0,"PAGADO",IF(M17&lt;=0,"AL DIA",IF(M17&lt;=1,"PENDIENTE","EN MORA"))))</f>
        <v/>
      </c>
      <c r="M17" s="12" t="str">
        <f>IF(OR(D17="",B17=""),"",MAX(0,NETWORKDAYS.INTL(B17,$D$2,11) - ROUND(J17/H17,0)))</f>
        <v/>
      </c>
    </row>
    <row r="18" spans="1:13" x14ac:dyDescent="0.25">
      <c r="A18" s="12">
        <v>13</v>
      </c>
      <c r="B18" s="13"/>
      <c r="C18" s="12"/>
      <c r="D18" s="14"/>
      <c r="E18" s="14" t="str">
        <f>IF(D18="","",ROUND(D18*0.2,0))</f>
        <v/>
      </c>
      <c r="F18" s="14" t="str">
        <f>IF(D18="","",D18+E18)</f>
        <v/>
      </c>
      <c r="G18" s="12">
        <v>6</v>
      </c>
      <c r="H18" s="15" t="e">
        <f>IF(G18="","",ROUND(F18/G18,0))</f>
        <v>#VALUE!</v>
      </c>
      <c r="I18" s="13" t="str">
        <f>IF(B18="","",WORKDAY.INTL(B18,G18,11))</f>
        <v/>
      </c>
      <c r="J18" s="14">
        <f>SUM(N18:BN18)</f>
        <v>0</v>
      </c>
      <c r="K18" s="14" t="str">
        <f>IF(F18="","",F18-J18)</f>
        <v/>
      </c>
      <c r="L18" s="12" t="str">
        <f>IF(OR(D18="",B18=""),"",IF(K18&lt;=0,"PAGADO",IF(M18&lt;=0,"AL DIA",IF(M18&lt;=1,"PENDIENTE","EN MORA"))))</f>
        <v/>
      </c>
      <c r="M18" s="12" t="str">
        <f>IF(OR(D18="",B18=""),"",MAX(0,NETWORKDAYS.INTL(B18,$D$2,11) - ROUND(J18/H18,0)))</f>
        <v/>
      </c>
    </row>
    <row r="19" spans="1:13" x14ac:dyDescent="0.25">
      <c r="A19" s="12">
        <v>14</v>
      </c>
      <c r="B19" s="13"/>
      <c r="C19" s="12"/>
      <c r="D19" s="14"/>
      <c r="E19" s="14" t="str">
        <f>IF(D19="","",ROUND(D19*0.2,0))</f>
        <v/>
      </c>
      <c r="F19" s="14" t="str">
        <f>IF(D19="","",D19+E19)</f>
        <v/>
      </c>
      <c r="G19" s="12">
        <v>6</v>
      </c>
      <c r="H19" s="15" t="e">
        <f>IF(G19="","",ROUND(F19/G19,0))</f>
        <v>#VALUE!</v>
      </c>
      <c r="I19" s="13" t="str">
        <f>IF(B19="","",WORKDAY.INTL(B19,G19,11))</f>
        <v/>
      </c>
      <c r="J19" s="14">
        <f>SUM(N19:BN19)</f>
        <v>0</v>
      </c>
      <c r="K19" s="14" t="str">
        <f>IF(F19="","",F19-J19)</f>
        <v/>
      </c>
      <c r="L19" s="12" t="str">
        <f>IF(OR(D19="",B19=""),"",IF(K19&lt;=0,"PAGADO",IF(M19&lt;=0,"AL DIA",IF(M19&lt;=1,"PENDIENTE","EN MORA"))))</f>
        <v/>
      </c>
      <c r="M19" s="12" t="str">
        <f>IF(OR(D19="",B19=""),"",MAX(0,NETWORKDAYS.INTL(B19,$D$2,11) - ROUND(J19/H19,0)))</f>
        <v/>
      </c>
    </row>
    <row r="20" spans="1:13" x14ac:dyDescent="0.25">
      <c r="A20" s="12">
        <v>15</v>
      </c>
      <c r="B20" s="13"/>
      <c r="C20" s="12"/>
      <c r="D20" s="14"/>
      <c r="E20" s="14" t="str">
        <f>IF(D20="","",ROUND(D20*0.2,0))</f>
        <v/>
      </c>
      <c r="F20" s="14" t="str">
        <f>IF(D20="","",D20+E20)</f>
        <v/>
      </c>
      <c r="G20" s="12">
        <v>6</v>
      </c>
      <c r="H20" s="15" t="e">
        <f>IF(G20="","",ROUND(F20/G20,0))</f>
        <v>#VALUE!</v>
      </c>
      <c r="I20" s="13" t="str">
        <f>IF(B20="","",WORKDAY.INTL(B20,G20,11))</f>
        <v/>
      </c>
      <c r="J20" s="14">
        <f>SUM(N20:BN20)</f>
        <v>0</v>
      </c>
      <c r="K20" s="14" t="str">
        <f>IF(F20="","",F20-J20)</f>
        <v/>
      </c>
      <c r="L20" s="12" t="str">
        <f>IF(OR(D20="",B20=""),"",IF(K20&lt;=0,"PAGADO",IF(M20&lt;=0,"AL DIA",IF(M20&lt;=1,"PENDIENTE","EN MORA"))))</f>
        <v/>
      </c>
      <c r="M20" s="12" t="str">
        <f>IF(OR(D20="",B20=""),"",MAX(0,NETWORKDAYS.INTL(B20,$D$2,11) - ROUND(J20/H20,0)))</f>
        <v/>
      </c>
    </row>
    <row r="21" spans="1:13" x14ac:dyDescent="0.25">
      <c r="A21" s="12">
        <v>16</v>
      </c>
      <c r="B21" s="13"/>
      <c r="C21" s="12"/>
      <c r="D21" s="14"/>
      <c r="E21" s="14" t="str">
        <f>IF(D21="","",ROUND(D21*0.2,0))</f>
        <v/>
      </c>
      <c r="F21" s="14" t="str">
        <f>IF(D21="","",D21+E21)</f>
        <v/>
      </c>
      <c r="G21" s="12">
        <v>6</v>
      </c>
      <c r="H21" s="15" t="e">
        <f>IF(G21="","",ROUND(F21/G21,0))</f>
        <v>#VALUE!</v>
      </c>
      <c r="I21" s="13" t="str">
        <f>IF(B21="","",WORKDAY.INTL(B21,G21,11))</f>
        <v/>
      </c>
      <c r="J21" s="14">
        <f>SUM(N21:BN21)</f>
        <v>0</v>
      </c>
      <c r="K21" s="14" t="str">
        <f>IF(F21="","",F21-J21)</f>
        <v/>
      </c>
      <c r="L21" s="12" t="str">
        <f>IF(OR(D21="",B21=""),"",IF(K21&lt;=0,"PAGADO",IF(M21&lt;=0,"AL DIA",IF(M21&lt;=1,"PENDIENTE","EN MORA"))))</f>
        <v/>
      </c>
      <c r="M21" s="12" t="str">
        <f>IF(OR(D21="",B21=""),"",MAX(0,NETWORKDAYS.INTL(B21,$D$2,11) - ROUND(J21/H21,0)))</f>
        <v/>
      </c>
    </row>
    <row r="22" spans="1:13" x14ac:dyDescent="0.25">
      <c r="A22" s="12">
        <v>17</v>
      </c>
      <c r="B22" s="13"/>
      <c r="C22" s="12"/>
      <c r="D22" s="14"/>
      <c r="E22" s="14" t="str">
        <f>IF(D22="","",ROUND(D22*0.2,0))</f>
        <v/>
      </c>
      <c r="F22" s="14" t="str">
        <f>IF(D22="","",D22+E22)</f>
        <v/>
      </c>
      <c r="G22" s="12">
        <v>6</v>
      </c>
      <c r="H22" s="15" t="e">
        <f>IF(G22="","",ROUND(F22/G22,0))</f>
        <v>#VALUE!</v>
      </c>
      <c r="I22" s="13" t="str">
        <f>IF(B22="","",WORKDAY.INTL(B22,G22,11))</f>
        <v/>
      </c>
      <c r="J22" s="14">
        <f>SUM(N22:BN22)</f>
        <v>0</v>
      </c>
      <c r="K22" s="14" t="str">
        <f>IF(F22="","",F22-J22)</f>
        <v/>
      </c>
      <c r="L22" s="12" t="str">
        <f>IF(OR(D22="",B22=""),"",IF(K22&lt;=0,"PAGADO",IF(M22&lt;=0,"AL DIA",IF(M22&lt;=1,"PENDIENTE","EN MORA"))))</f>
        <v/>
      </c>
      <c r="M22" s="12" t="str">
        <f>IF(OR(D22="",B22=""),"",MAX(0,NETWORKDAYS.INTL(B22,$D$2,11) - ROUND(J22/H22,0)))</f>
        <v/>
      </c>
    </row>
    <row r="23" spans="1:13" x14ac:dyDescent="0.25">
      <c r="A23" s="12">
        <v>18</v>
      </c>
      <c r="B23" s="13"/>
      <c r="C23" s="12"/>
      <c r="D23" s="14"/>
      <c r="E23" s="14" t="str">
        <f>IF(D23="","",ROUND(D23*0.2,0))</f>
        <v/>
      </c>
      <c r="F23" s="14" t="str">
        <f>IF(D23="","",D23+E23)</f>
        <v/>
      </c>
      <c r="G23" s="12">
        <v>6</v>
      </c>
      <c r="H23" s="15" t="e">
        <f>IF(G23="","",ROUND(F23/G23,0))</f>
        <v>#VALUE!</v>
      </c>
      <c r="I23" s="13" t="str">
        <f>IF(B23="","",WORKDAY.INTL(B23,G23,11))</f>
        <v/>
      </c>
      <c r="J23" s="14">
        <f>SUM(N23:BN23)</f>
        <v>0</v>
      </c>
      <c r="K23" s="14" t="str">
        <f>IF(F23="","",F23-J23)</f>
        <v/>
      </c>
      <c r="L23" s="12" t="str">
        <f>IF(OR(D23="",B23=""),"",IF(K23&lt;=0,"PAGADO",IF(M23&lt;=0,"AL DIA",IF(M23&lt;=1,"PENDIENTE","EN MORA"))))</f>
        <v/>
      </c>
      <c r="M23" s="12" t="str">
        <f>IF(OR(D23="",B23=""),"",MAX(0,NETWORKDAYS.INTL(B23,$D$2,11) - ROUND(J23/H23,0)))</f>
        <v/>
      </c>
    </row>
    <row r="24" spans="1:13" x14ac:dyDescent="0.25">
      <c r="A24" s="12">
        <v>19</v>
      </c>
      <c r="B24" s="13"/>
      <c r="C24" s="12"/>
      <c r="D24" s="14"/>
      <c r="E24" s="14" t="str">
        <f>IF(D24="","",ROUND(D24*0.2,0))</f>
        <v/>
      </c>
      <c r="F24" s="14" t="str">
        <f>IF(D24="","",D24+E24)</f>
        <v/>
      </c>
      <c r="G24" s="12">
        <v>6</v>
      </c>
      <c r="H24" s="15" t="e">
        <f>IF(G24="","",ROUND(F24/G24,0))</f>
        <v>#VALUE!</v>
      </c>
      <c r="I24" s="13" t="str">
        <f>IF(B24="","",WORKDAY.INTL(B24,G24,11))</f>
        <v/>
      </c>
      <c r="J24" s="14">
        <f>SUM(N24:BN24)</f>
        <v>0</v>
      </c>
      <c r="K24" s="14" t="str">
        <f>IF(F24="","",F24-J24)</f>
        <v/>
      </c>
      <c r="L24" s="12" t="str">
        <f>IF(OR(D24="",B24=""),"",IF(K24&lt;=0,"PAGADO",IF(M24&lt;=0,"AL DIA",IF(M24&lt;=1,"PENDIENTE","EN MORA"))))</f>
        <v/>
      </c>
      <c r="M24" s="12" t="str">
        <f>IF(OR(D24="",B24=""),"",MAX(0,NETWORKDAYS.INTL(B24,$D$2,11) - ROUND(J24/H24,0)))</f>
        <v/>
      </c>
    </row>
    <row r="25" spans="1:13" x14ac:dyDescent="0.25">
      <c r="A25" s="12">
        <v>20</v>
      </c>
      <c r="B25" s="13"/>
      <c r="C25" s="12"/>
      <c r="D25" s="14"/>
      <c r="E25" s="14" t="str">
        <f>IF(D25="","",ROUND(D25*0.2,0))</f>
        <v/>
      </c>
      <c r="F25" s="14" t="str">
        <f>IF(D25="","",D25+E25)</f>
        <v/>
      </c>
      <c r="G25" s="12">
        <v>6</v>
      </c>
      <c r="H25" s="15" t="e">
        <f>IF(G25="","",ROUND(F25/G25,0))</f>
        <v>#VALUE!</v>
      </c>
      <c r="I25" s="13" t="str">
        <f>IF(B25="","",WORKDAY.INTL(B25,G25,11))</f>
        <v/>
      </c>
      <c r="J25" s="14">
        <f>SUM(N25:BN25)</f>
        <v>0</v>
      </c>
      <c r="K25" s="14" t="str">
        <f>IF(F25="","",F25-J25)</f>
        <v/>
      </c>
      <c r="L25" s="12" t="str">
        <f>IF(OR(D25="",B25=""),"",IF(K25&lt;=0,"PAGADO",IF(M25&lt;=0,"AL DIA",IF(M25&lt;=1,"PENDIENTE","EN MORA"))))</f>
        <v/>
      </c>
      <c r="M25" s="12" t="str">
        <f>IF(OR(D25="",B25=""),"",MAX(0,NETWORKDAYS.INTL(B25,$D$2,11) - ROUND(J25/H25,0)))</f>
        <v/>
      </c>
    </row>
    <row r="26" spans="1:13" x14ac:dyDescent="0.25">
      <c r="A26" s="12">
        <v>21</v>
      </c>
      <c r="B26" s="13"/>
      <c r="C26" s="12"/>
      <c r="D26" s="14"/>
      <c r="E26" s="14" t="str">
        <f>IF(D26="","",ROUND(D26*0.2,0))</f>
        <v/>
      </c>
      <c r="F26" s="14" t="str">
        <f>IF(D26="","",D26+E26)</f>
        <v/>
      </c>
      <c r="G26" s="12">
        <v>6</v>
      </c>
      <c r="H26" s="15" t="e">
        <f>IF(G26="","",ROUND(F26/G26,0))</f>
        <v>#VALUE!</v>
      </c>
      <c r="I26" s="13" t="str">
        <f>IF(B26="","",WORKDAY.INTL(B26,G26,11))</f>
        <v/>
      </c>
      <c r="J26" s="14">
        <f>SUM(N26:BN26)</f>
        <v>0</v>
      </c>
      <c r="K26" s="14" t="str">
        <f>IF(F26="","",F26-J26)</f>
        <v/>
      </c>
      <c r="L26" s="12" t="str">
        <f>IF(OR(D26="",B26=""),"",IF(K26&lt;=0,"PAGADO",IF(M26&lt;=0,"AL DIA",IF(M26&lt;=1,"PENDIENTE","EN MORA"))))</f>
        <v/>
      </c>
      <c r="M26" s="12" t="str">
        <f>IF(OR(D26="",B26=""),"",MAX(0,NETWORKDAYS.INTL(B26,$D$2,11) - ROUND(J26/H26,0)))</f>
        <v/>
      </c>
    </row>
    <row r="27" spans="1:13" x14ac:dyDescent="0.25">
      <c r="A27" s="12">
        <v>22</v>
      </c>
      <c r="B27" s="13"/>
      <c r="C27" s="12"/>
      <c r="D27" s="14"/>
      <c r="E27" s="14" t="str">
        <f>IF(D27="","",ROUND(D27*0.2,0))</f>
        <v/>
      </c>
      <c r="F27" s="14" t="str">
        <f>IF(D27="","",D27+E27)</f>
        <v/>
      </c>
      <c r="G27" s="12">
        <v>6</v>
      </c>
      <c r="H27" s="15" t="e">
        <f>IF(G27="","",ROUND(F27/G27,0))</f>
        <v>#VALUE!</v>
      </c>
      <c r="I27" s="13" t="str">
        <f>IF(B27="","",WORKDAY.INTL(B27,G27,11))</f>
        <v/>
      </c>
      <c r="J27" s="14">
        <f>SUM(N27:BN27)</f>
        <v>0</v>
      </c>
      <c r="K27" s="14" t="str">
        <f>IF(F27="","",F27-J27)</f>
        <v/>
      </c>
      <c r="L27" s="12" t="str">
        <f>IF(OR(D27="",B27=""),"",IF(K27&lt;=0,"PAGADO",IF(M27&lt;=0,"AL DIA",IF(M27&lt;=1,"PENDIENTE","EN MORA"))))</f>
        <v/>
      </c>
      <c r="M27" s="12" t="str">
        <f>IF(OR(D27="",B27=""),"",MAX(0,NETWORKDAYS.INTL(B27,$D$2,11) - ROUND(J27/H27,0)))</f>
        <v/>
      </c>
    </row>
    <row r="28" spans="1:13" x14ac:dyDescent="0.25">
      <c r="A28" s="12">
        <v>23</v>
      </c>
      <c r="B28" s="13"/>
      <c r="C28" s="12"/>
      <c r="D28" s="14"/>
      <c r="E28" s="14" t="str">
        <f>IF(D28="","",ROUND(D28*0.2,0))</f>
        <v/>
      </c>
      <c r="F28" s="14" t="str">
        <f>IF(D28="","",D28+E28)</f>
        <v/>
      </c>
      <c r="G28" s="12">
        <v>6</v>
      </c>
      <c r="H28" s="15" t="e">
        <f>IF(G28="","",ROUND(F28/G28,0))</f>
        <v>#VALUE!</v>
      </c>
      <c r="I28" s="13" t="str">
        <f>IF(B28="","",WORKDAY.INTL(B28,G28,11))</f>
        <v/>
      </c>
      <c r="J28" s="14">
        <f>SUM(N28:BN28)</f>
        <v>0</v>
      </c>
      <c r="K28" s="14" t="str">
        <f>IF(F28="","",F28-J28)</f>
        <v/>
      </c>
      <c r="L28" s="12" t="str">
        <f>IF(OR(D28="",B28=""),"",IF(K28&lt;=0,"PAGADO",IF(M28&lt;=0,"AL DIA",IF(M28&lt;=1,"PENDIENTE","EN MORA"))))</f>
        <v/>
      </c>
      <c r="M28" s="12" t="str">
        <f>IF(OR(D28="",B28=""),"",MAX(0,NETWORKDAYS.INTL(B28,$D$2,11) - ROUND(J28/H28,0)))</f>
        <v/>
      </c>
    </row>
    <row r="29" spans="1:13" x14ac:dyDescent="0.25">
      <c r="A29" s="12">
        <v>24</v>
      </c>
      <c r="B29" s="13"/>
      <c r="C29" s="12"/>
      <c r="D29" s="14"/>
      <c r="E29" s="14" t="str">
        <f>IF(D29="","",ROUND(D29*0.2,0))</f>
        <v/>
      </c>
      <c r="F29" s="14" t="str">
        <f>IF(D29="","",D29+E29)</f>
        <v/>
      </c>
      <c r="G29" s="12">
        <v>6</v>
      </c>
      <c r="H29" s="15" t="e">
        <f>IF(G29="","",ROUND(F29/G29,0))</f>
        <v>#VALUE!</v>
      </c>
      <c r="I29" s="13" t="str">
        <f>IF(B29="","",WORKDAY.INTL(B29,G29,11))</f>
        <v/>
      </c>
      <c r="J29" s="14">
        <f>SUM(N29:BN29)</f>
        <v>0</v>
      </c>
      <c r="K29" s="14" t="str">
        <f>IF(F29="","",F29-J29)</f>
        <v/>
      </c>
      <c r="L29" s="12" t="str">
        <f>IF(OR(D29="",B29=""),"",IF(K29&lt;=0,"PAGADO",IF(M29&lt;=0,"AL DIA",IF(M29&lt;=1,"PENDIENTE","EN MORA"))))</f>
        <v/>
      </c>
      <c r="M29" s="12" t="str">
        <f>IF(OR(D29="",B29=""),"",MAX(0,NETWORKDAYS.INTL(B29,$D$2,11) - ROUND(J29/H29,0)))</f>
        <v/>
      </c>
    </row>
    <row r="30" spans="1:13" x14ac:dyDescent="0.25">
      <c r="A30" s="12">
        <v>25</v>
      </c>
      <c r="B30" s="13"/>
      <c r="C30" s="12"/>
      <c r="D30" s="14"/>
      <c r="E30" s="14" t="str">
        <f>IF(D30="","",ROUND(D30*0.2,0))</f>
        <v/>
      </c>
      <c r="F30" s="14" t="str">
        <f>IF(D30="","",D30+E30)</f>
        <v/>
      </c>
      <c r="G30" s="12">
        <v>6</v>
      </c>
      <c r="H30" s="15" t="e">
        <f>IF(G30="","",ROUND(F30/G30,0))</f>
        <v>#VALUE!</v>
      </c>
      <c r="I30" s="13" t="str">
        <f>IF(B30="","",WORKDAY.INTL(B30,G30,11))</f>
        <v/>
      </c>
      <c r="J30" s="14">
        <f>SUM(N30:BN30)</f>
        <v>0</v>
      </c>
      <c r="K30" s="14" t="str">
        <f>IF(F30="","",F30-J30)</f>
        <v/>
      </c>
      <c r="L30" s="12" t="str">
        <f>IF(OR(D30="",B30=""),"",IF(K30&lt;=0,"PAGADO",IF(M30&lt;=0,"AL DIA",IF(M30&lt;=1,"PENDIENTE","EN MORA"))))</f>
        <v/>
      </c>
      <c r="M30" s="12" t="str">
        <f>IF(OR(D30="",B30=""),"",MAX(0,NETWORKDAYS.INTL(B30,$D$2,11) - ROUND(J30/H30,0)))</f>
        <v/>
      </c>
    </row>
    <row r="31" spans="1:13" x14ac:dyDescent="0.25">
      <c r="A31" s="12">
        <v>26</v>
      </c>
      <c r="B31" s="13"/>
      <c r="C31" s="12"/>
      <c r="D31" s="14"/>
      <c r="E31" s="14" t="str">
        <f>IF(D31="","",ROUND(D31*0.2,0))</f>
        <v/>
      </c>
      <c r="F31" s="14" t="str">
        <f>IF(D31="","",D31+E31)</f>
        <v/>
      </c>
      <c r="G31" s="12">
        <v>6</v>
      </c>
      <c r="H31" s="15" t="e">
        <f>IF(G31="","",ROUND(F31/G31,0))</f>
        <v>#VALUE!</v>
      </c>
      <c r="I31" s="13" t="str">
        <f>IF(B31="","",WORKDAY.INTL(B31,G31,11))</f>
        <v/>
      </c>
      <c r="J31" s="14">
        <f>SUM(N31:BN31)</f>
        <v>0</v>
      </c>
      <c r="K31" s="14" t="str">
        <f>IF(F31="","",F31-J31)</f>
        <v/>
      </c>
      <c r="L31" s="12" t="str">
        <f>IF(OR(D31="",B31=""),"",IF(K31&lt;=0,"PAGADO",IF(M31&lt;=0,"AL DIA",IF(M31&lt;=1,"PENDIENTE","EN MORA"))))</f>
        <v/>
      </c>
      <c r="M31" s="12" t="str">
        <f>IF(OR(D31="",B31=""),"",MAX(0,NETWORKDAYS.INTL(B31,$D$2,11) - ROUND(J31/H31,0)))</f>
        <v/>
      </c>
    </row>
    <row r="32" spans="1:13" x14ac:dyDescent="0.25">
      <c r="A32" s="12">
        <v>27</v>
      </c>
      <c r="B32" s="13"/>
      <c r="C32" s="12"/>
      <c r="D32" s="14"/>
      <c r="E32" s="14" t="str">
        <f>IF(D32="","",ROUND(D32*0.2,0))</f>
        <v/>
      </c>
      <c r="F32" s="14" t="str">
        <f>IF(D32="","",D32+E32)</f>
        <v/>
      </c>
      <c r="G32" s="12">
        <v>6</v>
      </c>
      <c r="H32" s="15" t="e">
        <f>IF(G32="","",ROUND(F32/G32,0))</f>
        <v>#VALUE!</v>
      </c>
      <c r="I32" s="13" t="str">
        <f>IF(B32="","",WORKDAY.INTL(B32,G32,11))</f>
        <v/>
      </c>
      <c r="J32" s="14">
        <f>SUM(N32:BN32)</f>
        <v>0</v>
      </c>
      <c r="K32" s="14" t="str">
        <f>IF(F32="","",F32-J32)</f>
        <v/>
      </c>
      <c r="L32" s="12" t="str">
        <f>IF(OR(D32="",B32=""),"",IF(K32&lt;=0,"PAGADO",IF(M32&lt;=0,"AL DIA",IF(M32&lt;=1,"PENDIENTE","EN MORA"))))</f>
        <v/>
      </c>
      <c r="M32" s="12" t="str">
        <f>IF(OR(D32="",B32=""),"",MAX(0,NETWORKDAYS.INTL(B32,$D$2,11) - ROUND(J32/H32,0)))</f>
        <v/>
      </c>
    </row>
    <row r="33" spans="1:13" x14ac:dyDescent="0.25">
      <c r="A33" s="12">
        <v>28</v>
      </c>
      <c r="B33" s="13"/>
      <c r="C33" s="12"/>
      <c r="D33" s="14"/>
      <c r="E33" s="14" t="str">
        <f>IF(D33="","",ROUND(D33*0.2,0))</f>
        <v/>
      </c>
      <c r="F33" s="14" t="str">
        <f>IF(D33="","",D33+E33)</f>
        <v/>
      </c>
      <c r="G33" s="12">
        <v>6</v>
      </c>
      <c r="H33" s="15" t="e">
        <f>IF(G33="","",ROUND(F33/G33,0))</f>
        <v>#VALUE!</v>
      </c>
      <c r="I33" s="13" t="str">
        <f>IF(B33="","",WORKDAY.INTL(B33,G33,11))</f>
        <v/>
      </c>
      <c r="J33" s="14">
        <f>SUM(N33:BN33)</f>
        <v>0</v>
      </c>
      <c r="K33" s="14" t="str">
        <f>IF(F33="","",F33-J33)</f>
        <v/>
      </c>
      <c r="L33" s="12" t="str">
        <f>IF(OR(D33="",B33=""),"",IF(K33&lt;=0,"PAGADO",IF(M33&lt;=0,"AL DIA",IF(M33&lt;=1,"PENDIENTE","EN MORA"))))</f>
        <v/>
      </c>
      <c r="M33" s="12" t="str">
        <f>IF(OR(D33="",B33=""),"",MAX(0,NETWORKDAYS.INTL(B33,$D$2,11) - ROUND(J33/H33,0)))</f>
        <v/>
      </c>
    </row>
    <row r="34" spans="1:13" x14ac:dyDescent="0.25">
      <c r="A34" s="12">
        <v>29</v>
      </c>
      <c r="B34" s="13"/>
      <c r="C34" s="12"/>
      <c r="D34" s="14"/>
      <c r="E34" s="14" t="str">
        <f>IF(D34="","",ROUND(D34*0.2,0))</f>
        <v/>
      </c>
      <c r="F34" s="14" t="str">
        <f>IF(D34="","",D34+E34)</f>
        <v/>
      </c>
      <c r="G34" s="12">
        <v>6</v>
      </c>
      <c r="H34" s="15" t="e">
        <f>IF(G34="","",ROUND(F34/G34,0))</f>
        <v>#VALUE!</v>
      </c>
      <c r="I34" s="13" t="str">
        <f>IF(B34="","",WORKDAY.INTL(B34,G34,11))</f>
        <v/>
      </c>
      <c r="J34" s="14">
        <f>SUM(N34:BN34)</f>
        <v>0</v>
      </c>
      <c r="K34" s="14" t="str">
        <f>IF(F34="","",F34-J34)</f>
        <v/>
      </c>
      <c r="L34" s="12" t="str">
        <f>IF(OR(D34="",B34=""),"",IF(K34&lt;=0,"PAGADO",IF(M34&lt;=0,"AL DIA",IF(M34&lt;=1,"PENDIENTE","EN MORA"))))</f>
        <v/>
      </c>
      <c r="M34" s="12" t="str">
        <f>IF(OR(D34="",B34=""),"",MAX(0,NETWORKDAYS.INTL(B34,$D$2,11) - ROUND(J34/H34,0)))</f>
        <v/>
      </c>
    </row>
    <row r="35" spans="1:13" x14ac:dyDescent="0.25">
      <c r="A35" s="12">
        <v>30</v>
      </c>
      <c r="B35" s="13"/>
      <c r="C35" s="12"/>
      <c r="D35" s="14"/>
      <c r="E35" s="14" t="str">
        <f>IF(D35="","",ROUND(D35*0.2,0))</f>
        <v/>
      </c>
      <c r="F35" s="14" t="str">
        <f>IF(D35="","",D35+E35)</f>
        <v/>
      </c>
      <c r="G35" s="12">
        <v>6</v>
      </c>
      <c r="H35" s="15" t="e">
        <f>IF(G35="","",ROUND(F35/G35,0))</f>
        <v>#VALUE!</v>
      </c>
      <c r="I35" s="13" t="str">
        <f>IF(B35="","",WORKDAY.INTL(B35,G35,11))</f>
        <v/>
      </c>
      <c r="J35" s="14">
        <f>SUM(N35:BN35)</f>
        <v>0</v>
      </c>
      <c r="K35" s="14" t="str">
        <f>IF(F35="","",F35-J35)</f>
        <v/>
      </c>
      <c r="L35" s="12" t="str">
        <f>IF(OR(D35="",B35=""),"",IF(K35&lt;=0,"PAGADO",IF(M35&lt;=0,"AL DIA",IF(M35&lt;=1,"PENDIENTE","EN MORA"))))</f>
        <v/>
      </c>
      <c r="M35" s="12" t="str">
        <f>IF(OR(D35="",B35=""),"",MAX(0,NETWORKDAYS.INTL(B35,$D$2,11) - ROUND(J35/H35,0)))</f>
        <v/>
      </c>
    </row>
    <row r="36" spans="1:13" x14ac:dyDescent="0.25">
      <c r="A36" s="12">
        <v>31</v>
      </c>
      <c r="B36" s="13"/>
      <c r="C36" s="12"/>
      <c r="D36" s="14"/>
      <c r="E36" s="14" t="str">
        <f>IF(D36="","",ROUND(D36*0.2,0))</f>
        <v/>
      </c>
      <c r="F36" s="14" t="str">
        <f>IF(D36="","",D36+E36)</f>
        <v/>
      </c>
      <c r="G36" s="12">
        <v>6</v>
      </c>
      <c r="H36" s="15" t="e">
        <f>IF(G36="","",ROUND(F36/G36,0))</f>
        <v>#VALUE!</v>
      </c>
      <c r="I36" s="13" t="str">
        <f>IF(B36="","",WORKDAY.INTL(B36,G36,11))</f>
        <v/>
      </c>
      <c r="J36" s="14">
        <f>SUM(N36:BN36)</f>
        <v>0</v>
      </c>
      <c r="K36" s="14" t="str">
        <f>IF(F36="","",F36-J36)</f>
        <v/>
      </c>
      <c r="L36" s="12" t="str">
        <f>IF(OR(D36="",B36=""),"",IF(K36&lt;=0,"PAGADO",IF(M36&lt;=0,"AL DIA",IF(M36&lt;=1,"PENDIENTE","EN MORA"))))</f>
        <v/>
      </c>
      <c r="M36" s="12" t="str">
        <f>IF(OR(D36="",B36=""),"",MAX(0,NETWORKDAYS.INTL(B36,$D$2,11) - ROUND(J36/H36,0)))</f>
        <v/>
      </c>
    </row>
    <row r="37" spans="1:13" x14ac:dyDescent="0.25">
      <c r="A37" s="12">
        <v>32</v>
      </c>
      <c r="B37" s="13"/>
      <c r="C37" s="12"/>
      <c r="D37" s="14"/>
      <c r="E37" s="14" t="str">
        <f>IF(D37="","",ROUND(D37*0.2,0))</f>
        <v/>
      </c>
      <c r="F37" s="14" t="str">
        <f>IF(D37="","",D37+E37)</f>
        <v/>
      </c>
      <c r="G37" s="12">
        <v>6</v>
      </c>
      <c r="H37" s="15" t="e">
        <f>IF(G37="","",ROUND(F37/G37,0))</f>
        <v>#VALUE!</v>
      </c>
      <c r="I37" s="13" t="str">
        <f>IF(B37="","",WORKDAY.INTL(B37,G37,11))</f>
        <v/>
      </c>
      <c r="J37" s="14">
        <f>SUM(N37:BN37)</f>
        <v>0</v>
      </c>
      <c r="K37" s="14" t="str">
        <f>IF(F37="","",F37-J37)</f>
        <v/>
      </c>
      <c r="L37" s="12" t="str">
        <f>IF(OR(D37="",B37=""),"",IF(K37&lt;=0,"PAGADO",IF(M37&lt;=0,"AL DIA",IF(M37&lt;=1,"PENDIENTE","EN MORA"))))</f>
        <v/>
      </c>
      <c r="M37" s="12" t="str">
        <f>IF(OR(D37="",B37=""),"",MAX(0,NETWORKDAYS.INTL(B37,$D$2,11) - ROUND(J37/H37,0)))</f>
        <v/>
      </c>
    </row>
    <row r="38" spans="1:13" x14ac:dyDescent="0.25">
      <c r="A38" s="12">
        <v>33</v>
      </c>
      <c r="B38" s="13"/>
      <c r="C38" s="12"/>
      <c r="D38" s="14"/>
      <c r="E38" s="14" t="str">
        <f>IF(D38="","",ROUND(D38*0.2,0))</f>
        <v/>
      </c>
      <c r="F38" s="14" t="str">
        <f>IF(D38="","",D38+E38)</f>
        <v/>
      </c>
      <c r="G38" s="12">
        <v>6</v>
      </c>
      <c r="H38" s="15" t="e">
        <f>IF(G38="","",ROUND(F38/G38,0))</f>
        <v>#VALUE!</v>
      </c>
      <c r="I38" s="13" t="str">
        <f>IF(B38="","",WORKDAY.INTL(B38,G38,11))</f>
        <v/>
      </c>
      <c r="J38" s="14">
        <f>SUM(N38:BN38)</f>
        <v>0</v>
      </c>
      <c r="K38" s="14" t="str">
        <f>IF(F38="","",F38-J38)</f>
        <v/>
      </c>
      <c r="L38" s="12" t="str">
        <f>IF(OR(D38="",B38=""),"",IF(K38&lt;=0,"PAGADO",IF(M38&lt;=0,"AL DIA",IF(M38&lt;=1,"PENDIENTE","EN MORA"))))</f>
        <v/>
      </c>
      <c r="M38" s="12" t="str">
        <f>IF(OR(D38="",B38=""),"",MAX(0,NETWORKDAYS.INTL(B38,$D$2,11) - ROUND(J38/H38,0)))</f>
        <v/>
      </c>
    </row>
    <row r="39" spans="1:13" x14ac:dyDescent="0.25">
      <c r="A39" s="12">
        <v>34</v>
      </c>
      <c r="B39" s="13"/>
      <c r="C39" s="12"/>
      <c r="D39" s="14"/>
      <c r="E39" s="14" t="str">
        <f>IF(D39="","",ROUND(D39*0.2,0))</f>
        <v/>
      </c>
      <c r="F39" s="14" t="str">
        <f>IF(D39="","",D39+E39)</f>
        <v/>
      </c>
      <c r="G39" s="12">
        <v>6</v>
      </c>
      <c r="H39" s="15" t="e">
        <f>IF(G39="","",ROUND(F39/G39,0))</f>
        <v>#VALUE!</v>
      </c>
      <c r="I39" s="13" t="str">
        <f>IF(B39="","",WORKDAY.INTL(B39,G39,11))</f>
        <v/>
      </c>
      <c r="J39" s="14">
        <f>SUM(N39:BN39)</f>
        <v>0</v>
      </c>
      <c r="K39" s="14" t="str">
        <f>IF(F39="","",F39-J39)</f>
        <v/>
      </c>
      <c r="L39" s="12" t="str">
        <f>IF(OR(D39="",B39=""),"",IF(K39&lt;=0,"PAGADO",IF(M39&lt;=0,"AL DIA",IF(M39&lt;=1,"PENDIENTE","EN MORA"))))</f>
        <v/>
      </c>
      <c r="M39" s="12" t="str">
        <f>IF(OR(D39="",B39=""),"",MAX(0,NETWORKDAYS.INTL(B39,$D$2,11) - ROUND(J39/H39,0)))</f>
        <v/>
      </c>
    </row>
    <row r="40" spans="1:13" x14ac:dyDescent="0.25">
      <c r="A40" s="12">
        <v>35</v>
      </c>
      <c r="B40" s="13"/>
      <c r="C40" s="12"/>
      <c r="D40" s="14"/>
      <c r="E40" s="14" t="str">
        <f>IF(D40="","",ROUND(D40*0.2,0))</f>
        <v/>
      </c>
      <c r="F40" s="14" t="str">
        <f>IF(D40="","",D40+E40)</f>
        <v/>
      </c>
      <c r="G40" s="12">
        <v>6</v>
      </c>
      <c r="H40" s="15" t="e">
        <f>IF(G40="","",ROUND(F40/G40,0))</f>
        <v>#VALUE!</v>
      </c>
      <c r="I40" s="13" t="str">
        <f>IF(B40="","",WORKDAY.INTL(B40,G40,11))</f>
        <v/>
      </c>
      <c r="J40" s="14">
        <f>SUM(N40:BN40)</f>
        <v>0</v>
      </c>
      <c r="K40" s="14" t="str">
        <f>IF(F40="","",F40-J40)</f>
        <v/>
      </c>
      <c r="L40" s="12" t="str">
        <f>IF(OR(D40="",B40=""),"",IF(K40&lt;=0,"PAGADO",IF(M40&lt;=0,"AL DIA",IF(M40&lt;=1,"PENDIENTE","EN MORA"))))</f>
        <v/>
      </c>
      <c r="M40" s="12" t="str">
        <f>IF(OR(D40="",B40=""),"",MAX(0,NETWORKDAYS.INTL(B40,$D$2,11) - ROUND(J40/H40,0)))</f>
        <v/>
      </c>
    </row>
    <row r="41" spans="1:13" x14ac:dyDescent="0.25">
      <c r="A41" s="12">
        <v>36</v>
      </c>
      <c r="B41" s="13"/>
      <c r="C41" s="12"/>
      <c r="D41" s="14"/>
      <c r="E41" s="14" t="str">
        <f>IF(D41="","",ROUND(D41*0.2,0))</f>
        <v/>
      </c>
      <c r="F41" s="14" t="str">
        <f>IF(D41="","",D41+E41)</f>
        <v/>
      </c>
      <c r="G41" s="12">
        <v>6</v>
      </c>
      <c r="H41" s="15" t="e">
        <f>IF(G41="","",ROUND(F41/G41,0))</f>
        <v>#VALUE!</v>
      </c>
      <c r="I41" s="13" t="str">
        <f>IF(B41="","",WORKDAY.INTL(B41,G41,11))</f>
        <v/>
      </c>
      <c r="J41" s="14">
        <f>SUM(N41:BN41)</f>
        <v>0</v>
      </c>
      <c r="K41" s="14" t="str">
        <f>IF(F41="","",F41-J41)</f>
        <v/>
      </c>
      <c r="L41" s="12" t="str">
        <f>IF(OR(D41="",B41=""),"",IF(K41&lt;=0,"PAGADO",IF(M41&lt;=0,"AL DIA",IF(M41&lt;=1,"PENDIENTE","EN MORA"))))</f>
        <v/>
      </c>
      <c r="M41" s="12" t="str">
        <f>IF(OR(D41="",B41=""),"",MAX(0,NETWORKDAYS.INTL(B41,$D$2,11) - ROUND(J41/H41,0)))</f>
        <v/>
      </c>
    </row>
    <row r="42" spans="1:13" x14ac:dyDescent="0.25">
      <c r="A42" s="12">
        <v>37</v>
      </c>
      <c r="B42" s="13"/>
      <c r="C42" s="12"/>
      <c r="D42" s="14"/>
      <c r="E42" s="14" t="str">
        <f>IF(D42="","",ROUND(D42*0.2,0))</f>
        <v/>
      </c>
      <c r="F42" s="14" t="str">
        <f>IF(D42="","",D42+E42)</f>
        <v/>
      </c>
      <c r="G42" s="12">
        <v>6</v>
      </c>
      <c r="H42" s="15" t="e">
        <f>IF(G42="","",ROUND(F42/G42,0))</f>
        <v>#VALUE!</v>
      </c>
      <c r="I42" s="13" t="str">
        <f>IF(B42="","",WORKDAY.INTL(B42,G42,11))</f>
        <v/>
      </c>
      <c r="J42" s="14">
        <f>SUM(N42:BN42)</f>
        <v>0</v>
      </c>
      <c r="K42" s="14" t="str">
        <f>IF(F42="","",F42-J42)</f>
        <v/>
      </c>
      <c r="L42" s="12" t="str">
        <f>IF(OR(D42="",B42=""),"",IF(K42&lt;=0,"PAGADO",IF(M42&lt;=0,"AL DIA",IF(M42&lt;=1,"PENDIENTE","EN MORA"))))</f>
        <v/>
      </c>
      <c r="M42" s="12" t="str">
        <f>IF(OR(D42="",B42=""),"",MAX(0,NETWORKDAYS.INTL(B42,$D$2,11) - ROUND(J42/H42,0)))</f>
        <v/>
      </c>
    </row>
    <row r="43" spans="1:13" x14ac:dyDescent="0.25">
      <c r="A43" s="12">
        <v>38</v>
      </c>
      <c r="B43" s="13"/>
      <c r="C43" s="12"/>
      <c r="D43" s="14"/>
      <c r="E43" s="14" t="str">
        <f>IF(D43="","",ROUND(D43*0.2,0))</f>
        <v/>
      </c>
      <c r="F43" s="14" t="str">
        <f>IF(D43="","",D43+E43)</f>
        <v/>
      </c>
      <c r="G43" s="12">
        <v>6</v>
      </c>
      <c r="H43" s="15" t="e">
        <f>IF(G43="","",ROUND(F43/G43,0))</f>
        <v>#VALUE!</v>
      </c>
      <c r="I43" s="13" t="str">
        <f>IF(B43="","",WORKDAY.INTL(B43,G43,11))</f>
        <v/>
      </c>
      <c r="J43" s="14">
        <f>SUM(N43:BN43)</f>
        <v>0</v>
      </c>
      <c r="K43" s="14" t="str">
        <f>IF(F43="","",F43-J43)</f>
        <v/>
      </c>
      <c r="L43" s="12" t="str">
        <f>IF(OR(D43="",B43=""),"",IF(K43&lt;=0,"PAGADO",IF(M43&lt;=0,"AL DIA",IF(M43&lt;=1,"PENDIENTE","EN MORA"))))</f>
        <v/>
      </c>
      <c r="M43" s="12" t="str">
        <f>IF(OR(D43="",B43=""),"",MAX(0,NETWORKDAYS.INTL(B43,$D$2,11) - ROUND(J43/H43,0)))</f>
        <v/>
      </c>
    </row>
    <row r="44" spans="1:13" x14ac:dyDescent="0.25">
      <c r="A44" s="12">
        <v>39</v>
      </c>
      <c r="B44" s="13"/>
      <c r="C44" s="12"/>
      <c r="D44" s="14"/>
      <c r="E44" s="14" t="str">
        <f>IF(D44="","",ROUND(D44*0.2,0))</f>
        <v/>
      </c>
      <c r="F44" s="14" t="str">
        <f>IF(D44="","",D44+E44)</f>
        <v/>
      </c>
      <c r="G44" s="12">
        <v>6</v>
      </c>
      <c r="H44" s="15" t="e">
        <f>IF(G44="","",ROUND(F44/G44,0))</f>
        <v>#VALUE!</v>
      </c>
      <c r="I44" s="13" t="str">
        <f>IF(B44="","",WORKDAY.INTL(B44,G44,11))</f>
        <v/>
      </c>
      <c r="J44" s="14">
        <f>SUM(N44:BN44)</f>
        <v>0</v>
      </c>
      <c r="K44" s="14" t="str">
        <f>IF(F44="","",F44-J44)</f>
        <v/>
      </c>
      <c r="L44" s="12" t="str">
        <f>IF(OR(D44="",B44=""),"",IF(K44&lt;=0,"PAGADO",IF(M44&lt;=0,"AL DIA",IF(M44&lt;=1,"PENDIENTE","EN MORA"))))</f>
        <v/>
      </c>
      <c r="M44" s="12" t="str">
        <f>IF(OR(D44="",B44=""),"",MAX(0,NETWORKDAYS.INTL(B44,$D$2,11) - ROUND(J44/H44,0)))</f>
        <v/>
      </c>
    </row>
    <row r="45" spans="1:13" x14ac:dyDescent="0.25">
      <c r="A45" s="12">
        <v>40</v>
      </c>
      <c r="B45" s="13"/>
      <c r="C45" s="12"/>
      <c r="D45" s="14"/>
      <c r="E45" s="14" t="str">
        <f>IF(D45="","",ROUND(D45*0.2,0))</f>
        <v/>
      </c>
      <c r="F45" s="14" t="str">
        <f>IF(D45="","",D45+E45)</f>
        <v/>
      </c>
      <c r="G45" s="12">
        <v>6</v>
      </c>
      <c r="H45" s="15" t="e">
        <f>IF(G45="","",ROUND(F45/G45,0))</f>
        <v>#VALUE!</v>
      </c>
      <c r="I45" s="13" t="str">
        <f>IF(B45="","",WORKDAY.INTL(B45,G45,11))</f>
        <v/>
      </c>
      <c r="J45" s="14">
        <f>SUM(N45:BN45)</f>
        <v>0</v>
      </c>
      <c r="K45" s="14" t="str">
        <f>IF(F45="","",F45-J45)</f>
        <v/>
      </c>
      <c r="L45" s="12" t="str">
        <f>IF(OR(D45="",B45=""),"",IF(K45&lt;=0,"PAGADO",IF(M45&lt;=0,"AL DIA",IF(M45&lt;=1,"PENDIENTE","EN MORA"))))</f>
        <v/>
      </c>
      <c r="M45" s="12" t="str">
        <f>IF(OR(D45="",B45=""),"",MAX(0,NETWORKDAYS.INTL(B45,$D$2,11) - ROUND(J45/H45,0)))</f>
        <v/>
      </c>
    </row>
    <row r="46" spans="1:13" x14ac:dyDescent="0.25">
      <c r="A46" s="12">
        <v>41</v>
      </c>
      <c r="B46" s="13"/>
      <c r="C46" s="12"/>
      <c r="D46" s="14"/>
      <c r="E46" s="14" t="str">
        <f>IF(D46="","",ROUND(D46*0.2,0))</f>
        <v/>
      </c>
      <c r="F46" s="14" t="str">
        <f>IF(D46="","",D46+E46)</f>
        <v/>
      </c>
      <c r="G46" s="12">
        <v>6</v>
      </c>
      <c r="H46" s="15" t="e">
        <f>IF(G46="","",ROUND(F46/G46,0))</f>
        <v>#VALUE!</v>
      </c>
      <c r="I46" s="13" t="str">
        <f>IF(B46="","",WORKDAY.INTL(B46,G46,11))</f>
        <v/>
      </c>
      <c r="J46" s="14">
        <f>SUM(N46:BN46)</f>
        <v>0</v>
      </c>
      <c r="K46" s="14" t="str">
        <f>IF(F46="","",F46-J46)</f>
        <v/>
      </c>
      <c r="L46" s="12" t="str">
        <f>IF(OR(D46="",B46=""),"",IF(K46&lt;=0,"PAGADO",IF(M46&lt;=0,"AL DIA",IF(M46&lt;=1,"PENDIENTE","EN MORA"))))</f>
        <v/>
      </c>
      <c r="M46" s="12" t="str">
        <f>IF(OR(D46="",B46=""),"",MAX(0,NETWORKDAYS.INTL(B46,$D$2,11) - ROUND(J46/H46,0)))</f>
        <v/>
      </c>
    </row>
    <row r="47" spans="1:13" x14ac:dyDescent="0.25">
      <c r="A47" s="12">
        <v>42</v>
      </c>
      <c r="B47" s="13"/>
      <c r="C47" s="12"/>
      <c r="D47" s="14"/>
      <c r="E47" s="14" t="str">
        <f>IF(D47="","",ROUND(D47*0.2,0))</f>
        <v/>
      </c>
      <c r="F47" s="14" t="str">
        <f>IF(D47="","",D47+E47)</f>
        <v/>
      </c>
      <c r="G47" s="12">
        <v>6</v>
      </c>
      <c r="H47" s="15" t="e">
        <f>IF(G47="","",ROUND(F47/G47,0))</f>
        <v>#VALUE!</v>
      </c>
      <c r="I47" s="13" t="str">
        <f>IF(B47="","",WORKDAY.INTL(B47,G47,11))</f>
        <v/>
      </c>
      <c r="J47" s="14">
        <f>SUM(N47:BN47)</f>
        <v>0</v>
      </c>
      <c r="K47" s="14" t="str">
        <f>IF(F47="","",F47-J47)</f>
        <v/>
      </c>
      <c r="L47" s="12" t="str">
        <f>IF(OR(D47="",B47=""),"",IF(K47&lt;=0,"PAGADO",IF(M47&lt;=0,"AL DIA",IF(M47&lt;=1,"PENDIENTE","EN MORA"))))</f>
        <v/>
      </c>
      <c r="M47" s="12" t="str">
        <f>IF(OR(D47="",B47=""),"",MAX(0,NETWORKDAYS.INTL(B47,$D$2,11) - ROUND(J47/H47,0)))</f>
        <v/>
      </c>
    </row>
    <row r="48" spans="1:13" x14ac:dyDescent="0.25">
      <c r="A48" s="12">
        <v>43</v>
      </c>
      <c r="B48" s="13"/>
      <c r="C48" s="12"/>
      <c r="D48" s="14"/>
      <c r="E48" s="14" t="str">
        <f>IF(D48="","",ROUND(D48*0.2,0))</f>
        <v/>
      </c>
      <c r="F48" s="14" t="str">
        <f>IF(D48="","",D48+E48)</f>
        <v/>
      </c>
      <c r="G48" s="12">
        <v>6</v>
      </c>
      <c r="H48" s="15" t="e">
        <f>IF(G48="","",ROUND(F48/G48,0))</f>
        <v>#VALUE!</v>
      </c>
      <c r="I48" s="13" t="str">
        <f>IF(B48="","",WORKDAY.INTL(B48,G48,11))</f>
        <v/>
      </c>
      <c r="J48" s="14">
        <f>SUM(N48:BN48)</f>
        <v>0</v>
      </c>
      <c r="K48" s="14" t="str">
        <f>IF(F48="","",F48-J48)</f>
        <v/>
      </c>
      <c r="L48" s="12" t="str">
        <f>IF(OR(D48="",B48=""),"",IF(K48&lt;=0,"PAGADO",IF(M48&lt;=0,"AL DIA",IF(M48&lt;=1,"PENDIENTE","EN MORA"))))</f>
        <v/>
      </c>
      <c r="M48" s="12" t="str">
        <f>IF(OR(D48="",B48=""),"",MAX(0,NETWORKDAYS.INTL(B48,$D$2,11) - ROUND(J48/H48,0)))</f>
        <v/>
      </c>
    </row>
    <row r="49" spans="1:13" x14ac:dyDescent="0.25">
      <c r="A49" s="12">
        <v>44</v>
      </c>
      <c r="B49" s="13"/>
      <c r="C49" s="12"/>
      <c r="D49" s="14"/>
      <c r="E49" s="14" t="str">
        <f>IF(D49="","",ROUND(D49*0.2,0))</f>
        <v/>
      </c>
      <c r="F49" s="14" t="str">
        <f>IF(D49="","",D49+E49)</f>
        <v/>
      </c>
      <c r="G49" s="12">
        <v>6</v>
      </c>
      <c r="H49" s="15" t="e">
        <f>IF(G49="","",ROUND(F49/G49,0))</f>
        <v>#VALUE!</v>
      </c>
      <c r="I49" s="13" t="str">
        <f>IF(B49="","",WORKDAY.INTL(B49,G49,11))</f>
        <v/>
      </c>
      <c r="J49" s="14">
        <f>SUM(N49:BN49)</f>
        <v>0</v>
      </c>
      <c r="K49" s="14" t="str">
        <f>IF(F49="","",F49-J49)</f>
        <v/>
      </c>
      <c r="L49" s="12" t="str">
        <f>IF(OR(D49="",B49=""),"",IF(K49&lt;=0,"PAGADO",IF(M49&lt;=0,"AL DIA",IF(M49&lt;=1,"PENDIENTE","EN MORA"))))</f>
        <v/>
      </c>
      <c r="M49" s="12" t="str">
        <f>IF(OR(D49="",B49=""),"",MAX(0,NETWORKDAYS.INTL(B49,$D$2,11) - ROUND(J49/H49,0)))</f>
        <v/>
      </c>
    </row>
    <row r="50" spans="1:13" x14ac:dyDescent="0.25">
      <c r="A50" s="12">
        <v>45</v>
      </c>
      <c r="B50" s="13"/>
      <c r="C50" s="12"/>
      <c r="D50" s="14"/>
      <c r="E50" s="14" t="str">
        <f>IF(D50="","",ROUND(D50*0.2,0))</f>
        <v/>
      </c>
      <c r="F50" s="14" t="str">
        <f>IF(D50="","",D50+E50)</f>
        <v/>
      </c>
      <c r="G50" s="12">
        <v>6</v>
      </c>
      <c r="H50" s="15" t="e">
        <f>IF(G50="","",ROUND(F50/G50,0))</f>
        <v>#VALUE!</v>
      </c>
      <c r="I50" s="13" t="str">
        <f>IF(B50="","",WORKDAY.INTL(B50,G50,11))</f>
        <v/>
      </c>
      <c r="J50" s="14">
        <f>SUM(N50:BN50)</f>
        <v>0</v>
      </c>
      <c r="K50" s="14" t="str">
        <f>IF(F50="","",F50-J50)</f>
        <v/>
      </c>
      <c r="L50" s="12" t="str">
        <f>IF(OR(D50="",B50=""),"",IF(K50&lt;=0,"PAGADO",IF(M50&lt;=0,"AL DIA",IF(M50&lt;=1,"PENDIENTE","EN MORA"))))</f>
        <v/>
      </c>
      <c r="M50" s="12" t="str">
        <f>IF(OR(D50="",B50=""),"",MAX(0,NETWORKDAYS.INTL(B50,$D$2,11) - ROUND(J50/H50,0)))</f>
        <v/>
      </c>
    </row>
    <row r="51" spans="1:13" x14ac:dyDescent="0.25">
      <c r="A51" s="12">
        <v>46</v>
      </c>
      <c r="B51" s="13"/>
      <c r="C51" s="12"/>
      <c r="D51" s="14"/>
      <c r="E51" s="14" t="str">
        <f>IF(D51="","",ROUND(D51*0.2,0))</f>
        <v/>
      </c>
      <c r="F51" s="14" t="str">
        <f>IF(D51="","",D51+E51)</f>
        <v/>
      </c>
      <c r="G51" s="12">
        <v>6</v>
      </c>
      <c r="H51" s="15" t="e">
        <f>IF(G51="","",ROUND(F51/G51,0))</f>
        <v>#VALUE!</v>
      </c>
      <c r="I51" s="13" t="str">
        <f>IF(B51="","",WORKDAY.INTL(B51,G51,11))</f>
        <v/>
      </c>
      <c r="J51" s="14">
        <f>SUM(N51:BN51)</f>
        <v>0</v>
      </c>
      <c r="K51" s="14" t="str">
        <f>IF(F51="","",F51-J51)</f>
        <v/>
      </c>
      <c r="L51" s="12" t="str">
        <f>IF(OR(D51="",B51=""),"",IF(K51&lt;=0,"PAGADO",IF(M51&lt;=0,"AL DIA",IF(M51&lt;=1,"PENDIENTE","EN MORA"))))</f>
        <v/>
      </c>
      <c r="M51" s="12" t="str">
        <f>IF(OR(D51="",B51=""),"",MAX(0,NETWORKDAYS.INTL(B51,$D$2,11) - ROUND(J51/H51,0)))</f>
        <v/>
      </c>
    </row>
    <row r="52" spans="1:13" x14ac:dyDescent="0.25">
      <c r="A52" s="12">
        <v>47</v>
      </c>
      <c r="B52" s="13"/>
      <c r="C52" s="12"/>
      <c r="D52" s="14"/>
      <c r="E52" s="14" t="str">
        <f>IF(D52="","",ROUND(D52*0.2,0))</f>
        <v/>
      </c>
      <c r="F52" s="14" t="str">
        <f>IF(D52="","",D52+E52)</f>
        <v/>
      </c>
      <c r="G52" s="12">
        <v>6</v>
      </c>
      <c r="H52" s="15" t="e">
        <f>IF(G52="","",ROUND(F52/G52,0))</f>
        <v>#VALUE!</v>
      </c>
      <c r="I52" s="13" t="str">
        <f>IF(B52="","",WORKDAY.INTL(B52,G52,11))</f>
        <v/>
      </c>
      <c r="J52" s="14">
        <f>SUM(N52:BN52)</f>
        <v>0</v>
      </c>
      <c r="K52" s="14" t="str">
        <f>IF(F52="","",F52-J52)</f>
        <v/>
      </c>
      <c r="L52" s="12" t="str">
        <f>IF(OR(D52="",B52=""),"",IF(K52&lt;=0,"PAGADO",IF(M52&lt;=0,"AL DIA",IF(M52&lt;=1,"PENDIENTE","EN MORA"))))</f>
        <v/>
      </c>
      <c r="M52" s="12" t="str">
        <f>IF(OR(D52="",B52=""),"",MAX(0,NETWORKDAYS.INTL(B52,$D$2,11) - ROUND(J52/H52,0)))</f>
        <v/>
      </c>
    </row>
    <row r="53" spans="1:13" x14ac:dyDescent="0.25">
      <c r="A53" s="12">
        <v>48</v>
      </c>
      <c r="B53" s="13"/>
      <c r="C53" s="12"/>
      <c r="D53" s="14"/>
      <c r="E53" s="14" t="str">
        <f>IF(D53="","",ROUND(D53*0.2,0))</f>
        <v/>
      </c>
      <c r="F53" s="14" t="str">
        <f>IF(D53="","",D53+E53)</f>
        <v/>
      </c>
      <c r="G53" s="12">
        <v>6</v>
      </c>
      <c r="H53" s="15" t="e">
        <f>IF(G53="","",ROUND(F53/G53,0))</f>
        <v>#VALUE!</v>
      </c>
      <c r="I53" s="13" t="str">
        <f>IF(B53="","",WORKDAY.INTL(B53,G53,11))</f>
        <v/>
      </c>
      <c r="J53" s="14">
        <f>SUM(N53:BN53)</f>
        <v>0</v>
      </c>
      <c r="K53" s="14" t="str">
        <f>IF(F53="","",F53-J53)</f>
        <v/>
      </c>
      <c r="L53" s="12" t="str">
        <f>IF(OR(D53="",B53=""),"",IF(K53&lt;=0,"PAGADO",IF(M53&lt;=0,"AL DIA",IF(M53&lt;=1,"PENDIENTE","EN MORA"))))</f>
        <v/>
      </c>
      <c r="M53" s="12" t="str">
        <f>IF(OR(D53="",B53=""),"",MAX(0,NETWORKDAYS.INTL(B53,$D$2,11) - ROUND(J53/H53,0)))</f>
        <v/>
      </c>
    </row>
    <row r="54" spans="1:13" x14ac:dyDescent="0.25">
      <c r="A54" s="12">
        <v>49</v>
      </c>
      <c r="B54" s="13"/>
      <c r="C54" s="12"/>
      <c r="D54" s="14"/>
      <c r="E54" s="14" t="str">
        <f>IF(D54="","",ROUND(D54*0.2,0))</f>
        <v/>
      </c>
      <c r="F54" s="14" t="str">
        <f>IF(D54="","",D54+E54)</f>
        <v/>
      </c>
      <c r="G54" s="12">
        <v>6</v>
      </c>
      <c r="H54" s="15" t="e">
        <f>IF(G54="","",ROUND(F54/G54,0))</f>
        <v>#VALUE!</v>
      </c>
      <c r="I54" s="13" t="str">
        <f>IF(B54="","",WORKDAY.INTL(B54,G54,11))</f>
        <v/>
      </c>
      <c r="J54" s="14">
        <f>SUM(N54:BN54)</f>
        <v>0</v>
      </c>
      <c r="K54" s="14" t="str">
        <f>IF(F54="","",F54-J54)</f>
        <v/>
      </c>
      <c r="L54" s="12" t="str">
        <f>IF(OR(D54="",B54=""),"",IF(K54&lt;=0,"PAGADO",IF(M54&lt;=0,"AL DIA",IF(M54&lt;=1,"PENDIENTE","EN MORA"))))</f>
        <v/>
      </c>
      <c r="M54" s="12" t="str">
        <f>IF(OR(D54="",B54=""),"",MAX(0,NETWORKDAYS.INTL(B54,$D$2,11) - ROUND(J54/H54,0)))</f>
        <v/>
      </c>
    </row>
    <row r="55" spans="1:13" x14ac:dyDescent="0.25">
      <c r="A55" s="12">
        <v>50</v>
      </c>
      <c r="B55" s="13"/>
      <c r="C55" s="12"/>
      <c r="D55" s="14"/>
      <c r="E55" s="14" t="str">
        <f>IF(D55="","",ROUND(D55*0.2,0))</f>
        <v/>
      </c>
      <c r="F55" s="14" t="str">
        <f>IF(D55="","",D55+E55)</f>
        <v/>
      </c>
      <c r="G55" s="12">
        <v>6</v>
      </c>
      <c r="H55" s="15" t="e">
        <f>IF(G55="","",ROUND(F55/G55,0))</f>
        <v>#VALUE!</v>
      </c>
      <c r="I55" s="13" t="str">
        <f>IF(B55="","",WORKDAY.INTL(B55,G55,11))</f>
        <v/>
      </c>
      <c r="J55" s="14">
        <f>SUM(N55:BN55)</f>
        <v>0</v>
      </c>
      <c r="K55" s="14" t="str">
        <f>IF(F55="","",F55-J55)</f>
        <v/>
      </c>
      <c r="L55" s="12" t="str">
        <f>IF(OR(D55="",B55=""),"",IF(K55&lt;=0,"PAGADO",IF(M55&lt;=0,"AL DIA",IF(M55&lt;=1,"PENDIENTE","EN MORA"))))</f>
        <v/>
      </c>
      <c r="M55" s="12" t="str">
        <f>IF(OR(D55="",B55=""),"",MAX(0,NETWORKDAYS.INTL(B55,$D$2,11) - ROUND(J55/H55,0)))</f>
        <v/>
      </c>
    </row>
    <row r="56" spans="1:13" x14ac:dyDescent="0.25">
      <c r="A56" s="12">
        <v>51</v>
      </c>
      <c r="B56" s="13"/>
      <c r="C56" s="12"/>
      <c r="D56" s="14"/>
      <c r="E56" s="14" t="str">
        <f>IF(D56="","",ROUND(D56*0.2,0))</f>
        <v/>
      </c>
      <c r="F56" s="14" t="str">
        <f>IF(D56="","",D56+E56)</f>
        <v/>
      </c>
      <c r="G56" s="12">
        <v>6</v>
      </c>
      <c r="H56" s="15" t="e">
        <f>IF(G56="","",ROUND(F56/G56,0))</f>
        <v>#VALUE!</v>
      </c>
      <c r="I56" s="13" t="str">
        <f>IF(B56="","",WORKDAY.INTL(B56,G56,11))</f>
        <v/>
      </c>
      <c r="J56" s="14">
        <f>SUM(N56:BN56)</f>
        <v>0</v>
      </c>
      <c r="K56" s="14" t="str">
        <f>IF(F56="","",F56-J56)</f>
        <v/>
      </c>
      <c r="L56" s="12" t="str">
        <f>IF(OR(D56="",B56=""),"",IF(K56&lt;=0,"PAGADO",IF(M56&lt;=0,"AL DIA",IF(M56&lt;=1,"PENDIENTE","EN MORA"))))</f>
        <v/>
      </c>
      <c r="M56" s="12" t="str">
        <f>IF(OR(D56="",B56=""),"",MAX(0,NETWORKDAYS.INTL(B56,$D$2,11) - ROUND(J56/H56,0)))</f>
        <v/>
      </c>
    </row>
    <row r="57" spans="1:13" x14ac:dyDescent="0.25">
      <c r="A57" s="12">
        <v>52</v>
      </c>
      <c r="B57" s="13"/>
      <c r="C57" s="12"/>
      <c r="D57" s="14"/>
      <c r="E57" s="14" t="str">
        <f>IF(D57="","",ROUND(D57*0.2,0))</f>
        <v/>
      </c>
      <c r="F57" s="14" t="str">
        <f>IF(D57="","",D57+E57)</f>
        <v/>
      </c>
      <c r="G57" s="12">
        <v>6</v>
      </c>
      <c r="H57" s="15" t="e">
        <f>IF(G57="","",ROUND(F57/G57,0))</f>
        <v>#VALUE!</v>
      </c>
      <c r="I57" s="13" t="str">
        <f>IF(B57="","",WORKDAY.INTL(B57,G57,11))</f>
        <v/>
      </c>
      <c r="J57" s="14">
        <f>SUM(N57:BN57)</f>
        <v>0</v>
      </c>
      <c r="K57" s="14" t="str">
        <f>IF(F57="","",F57-J57)</f>
        <v/>
      </c>
      <c r="L57" s="12" t="str">
        <f>IF(OR(D57="",B57=""),"",IF(K57&lt;=0,"PAGADO",IF(M57&lt;=0,"AL DIA",IF(M57&lt;=1,"PENDIENTE","EN MORA"))))</f>
        <v/>
      </c>
      <c r="M57" s="12" t="str">
        <f>IF(OR(D57="",B57=""),"",MAX(0,NETWORKDAYS.INTL(B57,$D$2,11) - ROUND(J57/H57,0)))</f>
        <v/>
      </c>
    </row>
    <row r="58" spans="1:13" x14ac:dyDescent="0.25">
      <c r="A58" s="12">
        <v>53</v>
      </c>
      <c r="B58" s="13"/>
      <c r="C58" s="12"/>
      <c r="D58" s="14"/>
      <c r="E58" s="14" t="str">
        <f>IF(D58="","",ROUND(D58*0.2,0))</f>
        <v/>
      </c>
      <c r="F58" s="14" t="str">
        <f>IF(D58="","",D58+E58)</f>
        <v/>
      </c>
      <c r="G58" s="12">
        <v>6</v>
      </c>
      <c r="H58" s="15" t="e">
        <f>IF(G58="","",ROUND(F58/G58,0))</f>
        <v>#VALUE!</v>
      </c>
      <c r="I58" s="13" t="str">
        <f>IF(B58="","",WORKDAY.INTL(B58,G58,11))</f>
        <v/>
      </c>
      <c r="J58" s="14">
        <f>SUM(N58:BN58)</f>
        <v>0</v>
      </c>
      <c r="K58" s="14" t="str">
        <f>IF(F58="","",F58-J58)</f>
        <v/>
      </c>
      <c r="L58" s="12" t="str">
        <f>IF(OR(D58="",B58=""),"",IF(K58&lt;=0,"PAGADO",IF(M58&lt;=0,"AL DIA",IF(M58&lt;=1,"PENDIENTE","EN MORA"))))</f>
        <v/>
      </c>
      <c r="M58" s="12" t="str">
        <f>IF(OR(D58="",B58=""),"",MAX(0,NETWORKDAYS.INTL(B58,$D$2,11) - ROUND(J58/H58,0)))</f>
        <v/>
      </c>
    </row>
    <row r="59" spans="1:13" x14ac:dyDescent="0.25">
      <c r="A59" s="12">
        <v>54</v>
      </c>
      <c r="B59" s="13"/>
      <c r="C59" s="12"/>
      <c r="D59" s="14"/>
      <c r="E59" s="14" t="str">
        <f>IF(D59="","",ROUND(D59*0.2,0))</f>
        <v/>
      </c>
      <c r="F59" s="14" t="str">
        <f>IF(D59="","",D59+E59)</f>
        <v/>
      </c>
      <c r="G59" s="12">
        <v>6</v>
      </c>
      <c r="H59" s="15" t="e">
        <f>IF(G59="","",ROUND(F59/G59,0))</f>
        <v>#VALUE!</v>
      </c>
      <c r="I59" s="13" t="str">
        <f>IF(B59="","",WORKDAY.INTL(B59,G59,11))</f>
        <v/>
      </c>
      <c r="J59" s="14">
        <f>SUM(N59:BN59)</f>
        <v>0</v>
      </c>
      <c r="K59" s="14" t="str">
        <f>IF(F59="","",F59-J59)</f>
        <v/>
      </c>
      <c r="L59" s="12" t="str">
        <f>IF(OR(D59="",B59=""),"",IF(K59&lt;=0,"PAGADO",IF(M59&lt;=0,"AL DIA",IF(M59&lt;=1,"PENDIENTE","EN MORA"))))</f>
        <v/>
      </c>
      <c r="M59" s="12" t="str">
        <f>IF(OR(D59="",B59=""),"",MAX(0,NETWORKDAYS.INTL(B59,$D$2,11) - ROUND(J59/H59,0)))</f>
        <v/>
      </c>
    </row>
    <row r="60" spans="1:13" x14ac:dyDescent="0.25">
      <c r="A60" s="12">
        <v>55</v>
      </c>
      <c r="B60" s="13"/>
      <c r="C60" s="12"/>
      <c r="D60" s="14"/>
      <c r="E60" s="14" t="str">
        <f>IF(D60="","",ROUND(D60*0.2,0))</f>
        <v/>
      </c>
      <c r="F60" s="14" t="str">
        <f>IF(D60="","",D60+E60)</f>
        <v/>
      </c>
      <c r="G60" s="12">
        <v>6</v>
      </c>
      <c r="H60" s="15" t="e">
        <f>IF(G60="","",ROUND(F60/G60,0))</f>
        <v>#VALUE!</v>
      </c>
      <c r="I60" s="13" t="str">
        <f>IF(B60="","",WORKDAY.INTL(B60,G60,11))</f>
        <v/>
      </c>
      <c r="J60" s="14">
        <f>SUM(N60:BN60)</f>
        <v>0</v>
      </c>
      <c r="K60" s="14" t="str">
        <f>IF(F60="","",F60-J60)</f>
        <v/>
      </c>
      <c r="L60" s="12" t="str">
        <f>IF(OR(D60="",B60=""),"",IF(K60&lt;=0,"PAGADO",IF(M60&lt;=0,"AL DIA",IF(M60&lt;=1,"PENDIENTE","EN MORA"))))</f>
        <v/>
      </c>
      <c r="M60" s="12" t="str">
        <f>IF(OR(D60="",B60=""),"",MAX(0,NETWORKDAYS.INTL(B60,$D$2,11) - ROUND(J60/H60,0)))</f>
        <v/>
      </c>
    </row>
    <row r="61" spans="1:13" x14ac:dyDescent="0.25">
      <c r="A61" s="12">
        <v>56</v>
      </c>
      <c r="B61" s="13"/>
      <c r="C61" s="12"/>
      <c r="D61" s="14"/>
      <c r="E61" s="14" t="str">
        <f>IF(D61="","",ROUND(D61*0.2,0))</f>
        <v/>
      </c>
      <c r="F61" s="14" t="str">
        <f>IF(D61="","",D61+E61)</f>
        <v/>
      </c>
      <c r="G61" s="12">
        <v>6</v>
      </c>
      <c r="H61" s="15" t="e">
        <f>IF(G61="","",ROUND(F61/G61,0))</f>
        <v>#VALUE!</v>
      </c>
      <c r="I61" s="13" t="str">
        <f>IF(B61="","",WORKDAY.INTL(B61,G61,11))</f>
        <v/>
      </c>
      <c r="J61" s="14">
        <f>SUM(N61:BN61)</f>
        <v>0</v>
      </c>
      <c r="K61" s="14" t="str">
        <f>IF(F61="","",F61-J61)</f>
        <v/>
      </c>
      <c r="L61" s="12" t="str">
        <f>IF(OR(D61="",B61=""),"",IF(K61&lt;=0,"PAGADO",IF(M61&lt;=0,"AL DIA",IF(M61&lt;=1,"PENDIENTE","EN MORA"))))</f>
        <v/>
      </c>
      <c r="M61" s="12" t="str">
        <f>IF(OR(D61="",B61=""),"",MAX(0,NETWORKDAYS.INTL(B61,$D$2,11) - ROUND(J61/H61,0)))</f>
        <v/>
      </c>
    </row>
    <row r="62" spans="1:13" x14ac:dyDescent="0.25">
      <c r="A62" s="12">
        <v>57</v>
      </c>
      <c r="B62" s="13"/>
      <c r="C62" s="12"/>
      <c r="D62" s="14"/>
      <c r="E62" s="14" t="str">
        <f>IF(D62="","",ROUND(D62*0.2,0))</f>
        <v/>
      </c>
      <c r="F62" s="14" t="str">
        <f>IF(D62="","",D62+E62)</f>
        <v/>
      </c>
      <c r="G62" s="12">
        <v>6</v>
      </c>
      <c r="H62" s="15" t="e">
        <f>IF(G62="","",ROUND(F62/G62,0))</f>
        <v>#VALUE!</v>
      </c>
      <c r="I62" s="13" t="str">
        <f>IF(B62="","",WORKDAY.INTL(B62,G62,11))</f>
        <v/>
      </c>
      <c r="J62" s="14">
        <f>SUM(N62:BN62)</f>
        <v>0</v>
      </c>
      <c r="K62" s="14" t="str">
        <f>IF(F62="","",F62-J62)</f>
        <v/>
      </c>
      <c r="L62" s="12" t="str">
        <f>IF(OR(D62="",B62=""),"",IF(K62&lt;=0,"PAGADO",IF(M62&lt;=0,"AL DIA",IF(M62&lt;=1,"PENDIENTE","EN MORA"))))</f>
        <v/>
      </c>
      <c r="M62" s="12" t="str">
        <f>IF(OR(D62="",B62=""),"",MAX(0,NETWORKDAYS.INTL(B62,$D$2,11) - ROUND(J62/H62,0)))</f>
        <v/>
      </c>
    </row>
    <row r="63" spans="1:13" x14ac:dyDescent="0.25">
      <c r="A63" s="12">
        <v>58</v>
      </c>
      <c r="B63" s="13"/>
      <c r="C63" s="12"/>
      <c r="D63" s="14"/>
      <c r="E63" s="14" t="str">
        <f>IF(D63="","",ROUND(D63*0.2,0))</f>
        <v/>
      </c>
      <c r="F63" s="14" t="str">
        <f>IF(D63="","",D63+E63)</f>
        <v/>
      </c>
      <c r="G63" s="12">
        <v>6</v>
      </c>
      <c r="H63" s="15" t="e">
        <f>IF(G63="","",ROUND(F63/G63,0))</f>
        <v>#VALUE!</v>
      </c>
      <c r="I63" s="13" t="str">
        <f>IF(B63="","",WORKDAY.INTL(B63,G63,11))</f>
        <v/>
      </c>
      <c r="J63" s="14">
        <f>SUM(N63:BN63)</f>
        <v>0</v>
      </c>
      <c r="K63" s="14" t="str">
        <f>IF(F63="","",F63-J63)</f>
        <v/>
      </c>
      <c r="L63" s="12" t="str">
        <f>IF(OR(D63="",B63=""),"",IF(K63&lt;=0,"PAGADO",IF(M63&lt;=0,"AL DIA",IF(M63&lt;=1,"PENDIENTE","EN MORA"))))</f>
        <v/>
      </c>
      <c r="M63" s="12" t="str">
        <f>IF(OR(D63="",B63=""),"",MAX(0,NETWORKDAYS.INTL(B63,$D$2,11) - ROUND(J63/H63,0)))</f>
        <v/>
      </c>
    </row>
    <row r="64" spans="1:13" x14ac:dyDescent="0.25">
      <c r="A64" s="12">
        <v>59</v>
      </c>
      <c r="B64" s="13"/>
      <c r="C64" s="12"/>
      <c r="D64" s="14"/>
      <c r="E64" s="14" t="str">
        <f>IF(D64="","",ROUND(D64*0.2,0))</f>
        <v/>
      </c>
      <c r="F64" s="14" t="str">
        <f>IF(D64="","",D64+E64)</f>
        <v/>
      </c>
      <c r="G64" s="12">
        <v>6</v>
      </c>
      <c r="H64" s="15" t="e">
        <f>IF(G64="","",ROUND(F64/G64,0))</f>
        <v>#VALUE!</v>
      </c>
      <c r="I64" s="13" t="str">
        <f>IF(B64="","",WORKDAY.INTL(B64,G64,11))</f>
        <v/>
      </c>
      <c r="J64" s="14">
        <f>SUM(N64:BN64)</f>
        <v>0</v>
      </c>
      <c r="K64" s="14" t="str">
        <f>IF(F64="","",F64-J64)</f>
        <v/>
      </c>
      <c r="L64" s="12" t="str">
        <f>IF(OR(D64="",B64=""),"",IF(K64&lt;=0,"PAGADO",IF(M64&lt;=0,"AL DIA",IF(M64&lt;=1,"PENDIENTE","EN MORA"))))</f>
        <v/>
      </c>
      <c r="M64" s="12" t="str">
        <f>IF(OR(D64="",B64=""),"",MAX(0,NETWORKDAYS.INTL(B64,$D$2,11) - ROUND(J64/H64,0)))</f>
        <v/>
      </c>
    </row>
    <row r="65" spans="1:13" x14ac:dyDescent="0.25">
      <c r="A65" s="12">
        <v>60</v>
      </c>
      <c r="B65" s="13"/>
      <c r="C65" s="12"/>
      <c r="D65" s="14"/>
      <c r="E65" s="14" t="str">
        <f>IF(D65="","",ROUND(D65*0.2,0))</f>
        <v/>
      </c>
      <c r="F65" s="14" t="str">
        <f>IF(D65="","",D65+E65)</f>
        <v/>
      </c>
      <c r="G65" s="12">
        <v>6</v>
      </c>
      <c r="H65" s="15" t="e">
        <f>IF(G65="","",ROUND(F65/G65,0))</f>
        <v>#VALUE!</v>
      </c>
      <c r="I65" s="13" t="str">
        <f>IF(B65="","",WORKDAY.INTL(B65,G65,11))</f>
        <v/>
      </c>
      <c r="J65" s="14">
        <f>SUM(N65:BN65)</f>
        <v>0</v>
      </c>
      <c r="K65" s="14" t="str">
        <f>IF(F65="","",F65-J65)</f>
        <v/>
      </c>
      <c r="L65" s="12" t="str">
        <f>IF(OR(D65="",B65=""),"",IF(K65&lt;=0,"PAGADO",IF(M65&lt;=0,"AL DIA",IF(M65&lt;=1,"PENDIENTE","EN MORA"))))</f>
        <v/>
      </c>
      <c r="M65" s="12" t="str">
        <f>IF(OR(D65="",B65=""),"",MAX(0,NETWORKDAYS.INTL(B65,$D$2,11) - ROUND(J65/H65,0)))</f>
        <v/>
      </c>
    </row>
    <row r="66" spans="1:13" x14ac:dyDescent="0.25">
      <c r="A66" s="12">
        <v>61</v>
      </c>
      <c r="B66" s="13"/>
      <c r="C66" s="12"/>
      <c r="D66" s="14"/>
      <c r="E66" s="14" t="str">
        <f>IF(D66="","",ROUND(D66*0.2,0))</f>
        <v/>
      </c>
      <c r="F66" s="14" t="str">
        <f>IF(D66="","",D66+E66)</f>
        <v/>
      </c>
      <c r="G66" s="12">
        <v>6</v>
      </c>
      <c r="H66" s="15" t="e">
        <f>IF(G66="","",ROUND(F66/G66,0))</f>
        <v>#VALUE!</v>
      </c>
      <c r="I66" s="13" t="str">
        <f>IF(B66="","",WORKDAY.INTL(B66,G66,11))</f>
        <v/>
      </c>
      <c r="J66" s="14">
        <f>SUM(N66:BN66)</f>
        <v>0</v>
      </c>
      <c r="K66" s="14" t="str">
        <f>IF(F66="","",F66-J66)</f>
        <v/>
      </c>
      <c r="L66" s="12" t="str">
        <f>IF(OR(D66="",B66=""),"",IF(K66&lt;=0,"PAGADO",IF(M66&lt;=0,"AL DIA",IF(M66&lt;=1,"PENDIENTE","EN MORA"))))</f>
        <v/>
      </c>
      <c r="M66" s="12" t="str">
        <f>IF(OR(D66="",B66=""),"",MAX(0,NETWORKDAYS.INTL(B66,$D$2,11) - ROUND(J66/H66,0)))</f>
        <v/>
      </c>
    </row>
    <row r="67" spans="1:13" x14ac:dyDescent="0.25">
      <c r="A67" s="12">
        <v>62</v>
      </c>
      <c r="B67" s="13"/>
      <c r="C67" s="12"/>
      <c r="D67" s="14"/>
      <c r="E67" s="14" t="str">
        <f>IF(D67="","",ROUND(D67*0.2,0))</f>
        <v/>
      </c>
      <c r="F67" s="14" t="str">
        <f>IF(D67="","",D67+E67)</f>
        <v/>
      </c>
      <c r="G67" s="12">
        <v>6</v>
      </c>
      <c r="H67" s="15" t="e">
        <f>IF(G67="","",ROUND(F67/G67,0))</f>
        <v>#VALUE!</v>
      </c>
      <c r="I67" s="13" t="str">
        <f>IF(B67="","",WORKDAY.INTL(B67,G67,11))</f>
        <v/>
      </c>
      <c r="J67" s="14">
        <f>SUM(N67:BN67)</f>
        <v>0</v>
      </c>
      <c r="K67" s="14" t="str">
        <f>IF(F67="","",F67-J67)</f>
        <v/>
      </c>
      <c r="L67" s="12" t="str">
        <f>IF(OR(D67="",B67=""),"",IF(K67&lt;=0,"PAGADO",IF(M67&lt;=0,"AL DIA",IF(M67&lt;=1,"PENDIENTE","EN MORA"))))</f>
        <v/>
      </c>
      <c r="M67" s="12" t="str">
        <f>IF(OR(D67="",B67=""),"",MAX(0,NETWORKDAYS.INTL(B67,$D$2,11) - ROUND(J67/H67,0)))</f>
        <v/>
      </c>
    </row>
    <row r="68" spans="1:13" x14ac:dyDescent="0.25">
      <c r="A68" s="12">
        <v>63</v>
      </c>
      <c r="B68" s="13"/>
      <c r="C68" s="12"/>
      <c r="D68" s="14"/>
      <c r="E68" s="14" t="str">
        <f>IF(D68="","",ROUND(D68*0.2,0))</f>
        <v/>
      </c>
      <c r="F68" s="14" t="str">
        <f>IF(D68="","",D68+E68)</f>
        <v/>
      </c>
      <c r="G68" s="12">
        <v>6</v>
      </c>
      <c r="H68" s="15" t="e">
        <f>IF(G68="","",ROUND(F68/G68,0))</f>
        <v>#VALUE!</v>
      </c>
      <c r="I68" s="13" t="str">
        <f>IF(B68="","",WORKDAY.INTL(B68,G68,11))</f>
        <v/>
      </c>
      <c r="J68" s="14">
        <f>SUM(N68:BN68)</f>
        <v>0</v>
      </c>
      <c r="K68" s="14" t="str">
        <f>IF(F68="","",F68-J68)</f>
        <v/>
      </c>
      <c r="L68" s="12" t="str">
        <f>IF(OR(D68="",B68=""),"",IF(K68&lt;=0,"PAGADO",IF(M68&lt;=0,"AL DIA",IF(M68&lt;=1,"PENDIENTE","EN MORA"))))</f>
        <v/>
      </c>
      <c r="M68" s="12" t="str">
        <f>IF(OR(D68="",B68=""),"",MAX(0,NETWORKDAYS.INTL(B68,$D$2,11) - ROUND(J68/H68,0)))</f>
        <v/>
      </c>
    </row>
    <row r="69" spans="1:13" x14ac:dyDescent="0.25">
      <c r="A69" s="12">
        <v>64</v>
      </c>
      <c r="B69" s="13"/>
      <c r="C69" s="12"/>
      <c r="D69" s="14"/>
      <c r="E69" s="14" t="str">
        <f>IF(D69="","",ROUND(D69*0.2,0))</f>
        <v/>
      </c>
      <c r="F69" s="14" t="str">
        <f>IF(D69="","",D69+E69)</f>
        <v/>
      </c>
      <c r="G69" s="12">
        <v>6</v>
      </c>
      <c r="H69" s="15" t="e">
        <f>IF(G69="","",ROUND(F69/G69,0))</f>
        <v>#VALUE!</v>
      </c>
      <c r="I69" s="13" t="str">
        <f>IF(B69="","",WORKDAY.INTL(B69,G69,11))</f>
        <v/>
      </c>
      <c r="J69" s="14">
        <f>SUM(N69:BN69)</f>
        <v>0</v>
      </c>
      <c r="K69" s="14" t="str">
        <f>IF(F69="","",F69-J69)</f>
        <v/>
      </c>
      <c r="L69" s="12" t="str">
        <f>IF(OR(D69="",B69=""),"",IF(K69&lt;=0,"PAGADO",IF(M69&lt;=0,"AL DIA",IF(M69&lt;=1,"PENDIENTE","EN MORA"))))</f>
        <v/>
      </c>
      <c r="M69" s="12" t="str">
        <f>IF(OR(D69="",B69=""),"",MAX(0,NETWORKDAYS.INTL(B69,$D$2,11) - ROUND(J69/H69,0)))</f>
        <v/>
      </c>
    </row>
    <row r="70" spans="1:13" x14ac:dyDescent="0.25">
      <c r="A70" s="12">
        <v>65</v>
      </c>
      <c r="B70" s="13"/>
      <c r="C70" s="12"/>
      <c r="D70" s="14"/>
      <c r="E70" s="14" t="str">
        <f>IF(D70="","",ROUND(D70*0.2,0))</f>
        <v/>
      </c>
      <c r="F70" s="14" t="str">
        <f>IF(D70="","",D70+E70)</f>
        <v/>
      </c>
      <c r="G70" s="12">
        <v>6</v>
      </c>
      <c r="H70" s="15" t="e">
        <f>IF(G70="","",ROUND(F70/G70,0))</f>
        <v>#VALUE!</v>
      </c>
      <c r="I70" s="13" t="str">
        <f>IF(B70="","",WORKDAY.INTL(B70,G70,11))</f>
        <v/>
      </c>
      <c r="J70" s="14">
        <f>SUM(N70:BN70)</f>
        <v>0</v>
      </c>
      <c r="K70" s="14" t="str">
        <f>IF(F70="","",F70-J70)</f>
        <v/>
      </c>
      <c r="L70" s="12" t="str">
        <f>IF(OR(D70="",B70=""),"",IF(K70&lt;=0,"PAGADO",IF(M70&lt;=0,"AL DIA",IF(M70&lt;=1,"PENDIENTE","EN MORA"))))</f>
        <v/>
      </c>
      <c r="M70" s="12" t="str">
        <f>IF(OR(D70="",B70=""),"",MAX(0,NETWORKDAYS.INTL(B70,$D$2,11) - ROUND(J70/H70,0)))</f>
        <v/>
      </c>
    </row>
    <row r="71" spans="1:13" x14ac:dyDescent="0.25">
      <c r="A71" s="12">
        <v>66</v>
      </c>
      <c r="B71" s="13"/>
      <c r="C71" s="12"/>
      <c r="D71" s="14"/>
      <c r="E71" s="14" t="str">
        <f>IF(D71="","",ROUND(D71*0.2,0))</f>
        <v/>
      </c>
      <c r="F71" s="14" t="str">
        <f>IF(D71="","",D71+E71)</f>
        <v/>
      </c>
      <c r="G71" s="12">
        <v>6</v>
      </c>
      <c r="H71" s="15" t="e">
        <f>IF(G71="","",ROUND(F71/G71,0))</f>
        <v>#VALUE!</v>
      </c>
      <c r="I71" s="13" t="str">
        <f>IF(B71="","",WORKDAY.INTL(B71,G71,11))</f>
        <v/>
      </c>
      <c r="J71" s="14">
        <f>SUM(N71:BN71)</f>
        <v>0</v>
      </c>
      <c r="K71" s="14" t="str">
        <f>IF(F71="","",F71-J71)</f>
        <v/>
      </c>
      <c r="L71" s="12" t="str">
        <f>IF(OR(D71="",B71=""),"",IF(K71&lt;=0,"PAGADO",IF(M71&lt;=0,"AL DIA",IF(M71&lt;=1,"PENDIENTE","EN MORA"))))</f>
        <v/>
      </c>
      <c r="M71" s="12" t="str">
        <f>IF(OR(D71="",B71=""),"",MAX(0,NETWORKDAYS.INTL(B71,$D$2,11) - ROUND(J71/H71,0)))</f>
        <v/>
      </c>
    </row>
    <row r="72" spans="1:13" x14ac:dyDescent="0.25">
      <c r="A72" s="12">
        <v>67</v>
      </c>
      <c r="B72" s="13"/>
      <c r="C72" s="12"/>
      <c r="D72" s="14"/>
      <c r="E72" s="14" t="str">
        <f>IF(D72="","",ROUND(D72*0.2,0))</f>
        <v/>
      </c>
      <c r="F72" s="14" t="str">
        <f>IF(D72="","",D72+E72)</f>
        <v/>
      </c>
      <c r="G72" s="12">
        <v>6</v>
      </c>
      <c r="H72" s="15" t="e">
        <f>IF(G72="","",ROUND(F72/G72,0))</f>
        <v>#VALUE!</v>
      </c>
      <c r="I72" s="13" t="str">
        <f>IF(B72="","",WORKDAY.INTL(B72,G72,11))</f>
        <v/>
      </c>
      <c r="J72" s="14">
        <f>SUM(N72:BN72)</f>
        <v>0</v>
      </c>
      <c r="K72" s="14" t="str">
        <f>IF(F72="","",F72-J72)</f>
        <v/>
      </c>
      <c r="L72" s="12" t="str">
        <f>IF(OR(D72="",B72=""),"",IF(K72&lt;=0,"PAGADO",IF(M72&lt;=0,"AL DIA",IF(M72&lt;=1,"PENDIENTE","EN MORA"))))</f>
        <v/>
      </c>
      <c r="M72" s="12" t="str">
        <f>IF(OR(D72="",B72=""),"",MAX(0,NETWORKDAYS.INTL(B72,$D$2,11) - ROUND(J72/H72,0)))</f>
        <v/>
      </c>
    </row>
    <row r="73" spans="1:13" x14ac:dyDescent="0.25">
      <c r="A73" s="12">
        <v>68</v>
      </c>
      <c r="B73" s="13"/>
      <c r="C73" s="12"/>
      <c r="D73" s="14"/>
      <c r="E73" s="14" t="str">
        <f>IF(D73="","",ROUND(D73*0.2,0))</f>
        <v/>
      </c>
      <c r="F73" s="14" t="str">
        <f>IF(D73="","",D73+E73)</f>
        <v/>
      </c>
      <c r="G73" s="12">
        <v>6</v>
      </c>
      <c r="H73" s="15" t="e">
        <f>IF(G73="","",ROUND(F73/G73,0))</f>
        <v>#VALUE!</v>
      </c>
      <c r="I73" s="13" t="str">
        <f>IF(B73="","",WORKDAY.INTL(B73,G73,11))</f>
        <v/>
      </c>
      <c r="J73" s="14">
        <f>SUM(N73:BN73)</f>
        <v>0</v>
      </c>
      <c r="K73" s="14" t="str">
        <f>IF(F73="","",F73-J73)</f>
        <v/>
      </c>
      <c r="L73" s="12" t="str">
        <f>IF(OR(D73="",B73=""),"",IF(K73&lt;=0,"PAGADO",IF(M73&lt;=0,"AL DIA",IF(M73&lt;=1,"PENDIENTE","EN MORA"))))</f>
        <v/>
      </c>
      <c r="M73" s="12" t="str">
        <f>IF(OR(D73="",B73=""),"",MAX(0,NETWORKDAYS.INTL(B73,$D$2,11) - ROUND(J73/H73,0)))</f>
        <v/>
      </c>
    </row>
    <row r="74" spans="1:13" x14ac:dyDescent="0.25">
      <c r="A74" s="12">
        <v>69</v>
      </c>
      <c r="B74" s="13"/>
      <c r="C74" s="12"/>
      <c r="D74" s="14"/>
      <c r="E74" s="14" t="str">
        <f>IF(D74="","",ROUND(D74*0.2,0))</f>
        <v/>
      </c>
      <c r="F74" s="14" t="str">
        <f>IF(D74="","",D74+E74)</f>
        <v/>
      </c>
      <c r="G74" s="12">
        <v>6</v>
      </c>
      <c r="H74" s="15" t="e">
        <f>IF(G74="","",ROUND(F74/G74,0))</f>
        <v>#VALUE!</v>
      </c>
      <c r="I74" s="13" t="str">
        <f>IF(B74="","",WORKDAY.INTL(B74,G74,11))</f>
        <v/>
      </c>
      <c r="J74" s="14">
        <f>SUM(N74:BN74)</f>
        <v>0</v>
      </c>
      <c r="K74" s="14" t="str">
        <f>IF(F74="","",F74-J74)</f>
        <v/>
      </c>
      <c r="L74" s="12" t="str">
        <f>IF(OR(D74="",B74=""),"",IF(K74&lt;=0,"PAGADO",IF(M74&lt;=0,"AL DIA",IF(M74&lt;=1,"PENDIENTE","EN MORA"))))</f>
        <v/>
      </c>
      <c r="M74" s="12" t="str">
        <f>IF(OR(D74="",B74=""),"",MAX(0,NETWORKDAYS.INTL(B74,$D$2,11) - ROUND(J74/H74,0)))</f>
        <v/>
      </c>
    </row>
    <row r="75" spans="1:13" x14ac:dyDescent="0.25">
      <c r="A75" s="12">
        <v>70</v>
      </c>
      <c r="B75" s="13"/>
      <c r="C75" s="12"/>
      <c r="D75" s="14"/>
      <c r="E75" s="14" t="str">
        <f>IF(D75="","",ROUND(D75*0.2,0))</f>
        <v/>
      </c>
      <c r="F75" s="14" t="str">
        <f>IF(D75="","",D75+E75)</f>
        <v/>
      </c>
      <c r="G75" s="12">
        <v>6</v>
      </c>
      <c r="H75" s="15" t="e">
        <f>IF(G75="","",ROUND(F75/G75,0))</f>
        <v>#VALUE!</v>
      </c>
      <c r="I75" s="13" t="str">
        <f>IF(B75="","",WORKDAY.INTL(B75,G75,11))</f>
        <v/>
      </c>
      <c r="J75" s="14">
        <f>SUM(N75:BN75)</f>
        <v>0</v>
      </c>
      <c r="K75" s="14" t="str">
        <f>IF(F75="","",F75-J75)</f>
        <v/>
      </c>
      <c r="L75" s="12" t="str">
        <f>IF(OR(D75="",B75=""),"",IF(K75&lt;=0,"PAGADO",IF(M75&lt;=0,"AL DIA",IF(M75&lt;=1,"PENDIENTE","EN MORA"))))</f>
        <v/>
      </c>
      <c r="M75" s="12" t="str">
        <f>IF(OR(D75="",B75=""),"",MAX(0,NETWORKDAYS.INTL(B75,$D$2,11) - ROUND(J75/H75,0)))</f>
        <v/>
      </c>
    </row>
    <row r="76" spans="1:13" x14ac:dyDescent="0.25">
      <c r="A76" s="12">
        <v>71</v>
      </c>
      <c r="B76" s="13"/>
      <c r="C76" s="12"/>
      <c r="D76" s="14"/>
      <c r="E76" s="14" t="str">
        <f>IF(D76="","",ROUND(D76*0.2,0))</f>
        <v/>
      </c>
      <c r="F76" s="14" t="str">
        <f>IF(D76="","",D76+E76)</f>
        <v/>
      </c>
      <c r="G76" s="12">
        <v>6</v>
      </c>
      <c r="H76" s="15" t="e">
        <f>IF(G76="","",ROUND(F76/G76,0))</f>
        <v>#VALUE!</v>
      </c>
      <c r="I76" s="13" t="str">
        <f>IF(B76="","",WORKDAY.INTL(B76,G76,11))</f>
        <v/>
      </c>
      <c r="J76" s="14">
        <f>SUM(N76:BN76)</f>
        <v>0</v>
      </c>
      <c r="K76" s="14" t="str">
        <f>IF(F76="","",F76-J76)</f>
        <v/>
      </c>
      <c r="L76" s="12" t="str">
        <f>IF(OR(D76="",B76=""),"",IF(K76&lt;=0,"PAGADO",IF(M76&lt;=0,"AL DIA",IF(M76&lt;=1,"PENDIENTE","EN MORA"))))</f>
        <v/>
      </c>
      <c r="M76" s="12" t="str">
        <f>IF(OR(D76="",B76=""),"",MAX(0,NETWORKDAYS.INTL(B76,$D$2,11) - ROUND(J76/H76,0)))</f>
        <v/>
      </c>
    </row>
    <row r="77" spans="1:13" x14ac:dyDescent="0.25">
      <c r="A77" s="12">
        <v>72</v>
      </c>
      <c r="B77" s="13"/>
      <c r="C77" s="12"/>
      <c r="D77" s="14"/>
      <c r="E77" s="14" t="str">
        <f>IF(D77="","",ROUND(D77*0.2,0))</f>
        <v/>
      </c>
      <c r="F77" s="14" t="str">
        <f>IF(D77="","",D77+E77)</f>
        <v/>
      </c>
      <c r="G77" s="12">
        <v>6</v>
      </c>
      <c r="H77" s="15" t="e">
        <f>IF(G77="","",ROUND(F77/G77,0))</f>
        <v>#VALUE!</v>
      </c>
      <c r="I77" s="13" t="str">
        <f>IF(B77="","",WORKDAY.INTL(B77,G77,11))</f>
        <v/>
      </c>
      <c r="J77" s="14">
        <f>SUM(N77:BN77)</f>
        <v>0</v>
      </c>
      <c r="K77" s="14" t="str">
        <f>IF(F77="","",F77-J77)</f>
        <v/>
      </c>
      <c r="L77" s="12" t="str">
        <f>IF(OR(D77="",B77=""),"",IF(K77&lt;=0,"PAGADO",IF(M77&lt;=0,"AL DIA",IF(M77&lt;=1,"PENDIENTE","EN MORA"))))</f>
        <v/>
      </c>
      <c r="M77" s="12" t="str">
        <f>IF(OR(D77="",B77=""),"",MAX(0,NETWORKDAYS.INTL(B77,$D$2,11) - ROUND(J77/H77,0)))</f>
        <v/>
      </c>
    </row>
    <row r="78" spans="1:13" x14ac:dyDescent="0.25">
      <c r="A78" s="12">
        <v>73</v>
      </c>
      <c r="B78" s="13"/>
      <c r="C78" s="12"/>
      <c r="D78" s="14"/>
      <c r="E78" s="14" t="str">
        <f>IF(D78="","",ROUND(D78*0.2,0))</f>
        <v/>
      </c>
      <c r="F78" s="14" t="str">
        <f>IF(D78="","",D78+E78)</f>
        <v/>
      </c>
      <c r="G78" s="12">
        <v>6</v>
      </c>
      <c r="H78" s="15" t="e">
        <f>IF(G78="","",ROUND(F78/G78,0))</f>
        <v>#VALUE!</v>
      </c>
      <c r="I78" s="13" t="str">
        <f>IF(B78="","",WORKDAY.INTL(B78,G78,11))</f>
        <v/>
      </c>
      <c r="J78" s="14">
        <f>SUM(N78:BN78)</f>
        <v>0</v>
      </c>
      <c r="K78" s="14" t="str">
        <f>IF(F78="","",F78-J78)</f>
        <v/>
      </c>
      <c r="L78" s="12" t="str">
        <f>IF(OR(D78="",B78=""),"",IF(K78&lt;=0,"PAGADO",IF(M78&lt;=0,"AL DIA",IF(M78&lt;=1,"PENDIENTE","EN MORA"))))</f>
        <v/>
      </c>
      <c r="M78" s="12" t="str">
        <f>IF(OR(D78="",B78=""),"",MAX(0,NETWORKDAYS.INTL(B78,$D$2,11) - ROUND(J78/H78,0)))</f>
        <v/>
      </c>
    </row>
    <row r="79" spans="1:13" x14ac:dyDescent="0.25">
      <c r="A79" s="12">
        <v>74</v>
      </c>
      <c r="B79" s="13"/>
      <c r="C79" s="12"/>
      <c r="D79" s="14"/>
      <c r="E79" s="14" t="str">
        <f>IF(D79="","",ROUND(D79*0.2,0))</f>
        <v/>
      </c>
      <c r="F79" s="14" t="str">
        <f>IF(D79="","",D79+E79)</f>
        <v/>
      </c>
      <c r="G79" s="12">
        <v>6</v>
      </c>
      <c r="H79" s="15" t="e">
        <f>IF(G79="","",ROUND(F79/G79,0))</f>
        <v>#VALUE!</v>
      </c>
      <c r="I79" s="13" t="str">
        <f>IF(B79="","",WORKDAY.INTL(B79,G79,11))</f>
        <v/>
      </c>
      <c r="J79" s="14">
        <f>SUM(N79:BN79)</f>
        <v>0</v>
      </c>
      <c r="K79" s="14" t="str">
        <f>IF(F79="","",F79-J79)</f>
        <v/>
      </c>
      <c r="L79" s="12" t="str">
        <f>IF(OR(D79="",B79=""),"",IF(K79&lt;=0,"PAGADO",IF(M79&lt;=0,"AL DIA",IF(M79&lt;=1,"PENDIENTE","EN MORA"))))</f>
        <v/>
      </c>
      <c r="M79" s="12" t="str">
        <f>IF(OR(D79="",B79=""),"",MAX(0,NETWORKDAYS.INTL(B79,$D$2,11) - ROUND(J79/H79,0)))</f>
        <v/>
      </c>
    </row>
    <row r="80" spans="1:13" x14ac:dyDescent="0.25">
      <c r="A80" s="12">
        <v>75</v>
      </c>
      <c r="B80" s="13"/>
      <c r="C80" s="12"/>
      <c r="D80" s="14"/>
      <c r="E80" s="14" t="str">
        <f>IF(D80="","",ROUND(D80*0.2,0))</f>
        <v/>
      </c>
      <c r="F80" s="14" t="str">
        <f>IF(D80="","",D80+E80)</f>
        <v/>
      </c>
      <c r="G80" s="12">
        <v>6</v>
      </c>
      <c r="H80" s="15" t="e">
        <f>IF(G80="","",ROUND(F80/G80,0))</f>
        <v>#VALUE!</v>
      </c>
      <c r="I80" s="13" t="str">
        <f>IF(B80="","",WORKDAY.INTL(B80,G80,11))</f>
        <v/>
      </c>
      <c r="J80" s="14">
        <f>SUM(N80:BN80)</f>
        <v>0</v>
      </c>
      <c r="K80" s="14" t="str">
        <f>IF(F80="","",F80-J80)</f>
        <v/>
      </c>
      <c r="L80" s="12" t="str">
        <f>IF(OR(D80="",B80=""),"",IF(K80&lt;=0,"PAGADO",IF(M80&lt;=0,"AL DIA",IF(M80&lt;=1,"PENDIENTE","EN MORA"))))</f>
        <v/>
      </c>
      <c r="M80" s="12" t="str">
        <f>IF(OR(D80="",B80=""),"",MAX(0,NETWORKDAYS.INTL(B80,$D$2,11) - ROUND(J80/H80,0)))</f>
        <v/>
      </c>
    </row>
    <row r="81" spans="1:13" x14ac:dyDescent="0.25">
      <c r="A81" s="12">
        <v>76</v>
      </c>
      <c r="B81" s="13"/>
      <c r="C81" s="12"/>
      <c r="D81" s="14"/>
      <c r="E81" s="14" t="str">
        <f>IF(D81="","",ROUND(D81*0.2,0))</f>
        <v/>
      </c>
      <c r="F81" s="14" t="str">
        <f>IF(D81="","",D81+E81)</f>
        <v/>
      </c>
      <c r="G81" s="12">
        <v>6</v>
      </c>
      <c r="H81" s="15" t="e">
        <f>IF(G81="","",ROUND(F81/G81,0))</f>
        <v>#VALUE!</v>
      </c>
      <c r="I81" s="13" t="str">
        <f>IF(B81="","",WORKDAY.INTL(B81,G81,11))</f>
        <v/>
      </c>
      <c r="J81" s="14">
        <f>SUM(N81:BN81)</f>
        <v>0</v>
      </c>
      <c r="K81" s="14" t="str">
        <f>IF(F81="","",F81-J81)</f>
        <v/>
      </c>
      <c r="L81" s="12" t="str">
        <f>IF(OR(D81="",B81=""),"",IF(K81&lt;=0,"PAGADO",IF(M81&lt;=0,"AL DIA",IF(M81&lt;=1,"PENDIENTE","EN MORA"))))</f>
        <v/>
      </c>
      <c r="M81" s="12" t="str">
        <f>IF(OR(D81="",B81=""),"",MAX(0,NETWORKDAYS.INTL(B81,$D$2,11) - ROUND(J81/H81,0)))</f>
        <v/>
      </c>
    </row>
    <row r="82" spans="1:13" x14ac:dyDescent="0.25">
      <c r="A82" s="12">
        <v>77</v>
      </c>
      <c r="B82" s="13"/>
      <c r="C82" s="12"/>
      <c r="D82" s="14"/>
      <c r="E82" s="14" t="str">
        <f>IF(D82="","",ROUND(D82*0.2,0))</f>
        <v/>
      </c>
      <c r="F82" s="14" t="str">
        <f>IF(D82="","",D82+E82)</f>
        <v/>
      </c>
      <c r="G82" s="12">
        <v>6</v>
      </c>
      <c r="H82" s="15" t="e">
        <f>IF(G82="","",ROUND(F82/G82,0))</f>
        <v>#VALUE!</v>
      </c>
      <c r="I82" s="13" t="str">
        <f>IF(B82="","",WORKDAY.INTL(B82,G82,11))</f>
        <v/>
      </c>
      <c r="J82" s="14">
        <f>SUM(N82:BN82)</f>
        <v>0</v>
      </c>
      <c r="K82" s="14" t="str">
        <f>IF(F82="","",F82-J82)</f>
        <v/>
      </c>
      <c r="L82" s="12" t="str">
        <f>IF(OR(D82="",B82=""),"",IF(K82&lt;=0,"PAGADO",IF(M82&lt;=0,"AL DIA",IF(M82&lt;=1,"PENDIENTE","EN MORA"))))</f>
        <v/>
      </c>
      <c r="M82" s="12" t="str">
        <f>IF(OR(D82="",B82=""),"",MAX(0,NETWORKDAYS.INTL(B82,$D$2,11) - ROUND(J82/H82,0)))</f>
        <v/>
      </c>
    </row>
    <row r="83" spans="1:13" x14ac:dyDescent="0.25">
      <c r="A83" s="12">
        <v>78</v>
      </c>
      <c r="B83" s="13"/>
      <c r="C83" s="12"/>
      <c r="D83" s="14"/>
      <c r="E83" s="14" t="str">
        <f>IF(D83="","",ROUND(D83*0.2,0))</f>
        <v/>
      </c>
      <c r="F83" s="14" t="str">
        <f>IF(D83="","",D83+E83)</f>
        <v/>
      </c>
      <c r="G83" s="12">
        <v>6</v>
      </c>
      <c r="H83" s="15" t="e">
        <f>IF(G83="","",ROUND(F83/G83,0))</f>
        <v>#VALUE!</v>
      </c>
      <c r="I83" s="13" t="str">
        <f>IF(B83="","",WORKDAY.INTL(B83,G83,11))</f>
        <v/>
      </c>
      <c r="J83" s="14">
        <f>SUM(N83:BN83)</f>
        <v>0</v>
      </c>
      <c r="K83" s="14" t="str">
        <f>IF(F83="","",F83-J83)</f>
        <v/>
      </c>
      <c r="L83" s="12" t="str">
        <f>IF(OR(D83="",B83=""),"",IF(K83&lt;=0,"PAGADO",IF(M83&lt;=0,"AL DIA",IF(M83&lt;=1,"PENDIENTE","EN MORA"))))</f>
        <v/>
      </c>
      <c r="M83" s="12" t="str">
        <f>IF(OR(D83="",B83=""),"",MAX(0,NETWORKDAYS.INTL(B83,$D$2,11) - ROUND(J83/H83,0)))</f>
        <v/>
      </c>
    </row>
    <row r="84" spans="1:13" x14ac:dyDescent="0.25">
      <c r="A84" s="12">
        <v>79</v>
      </c>
      <c r="B84" s="13"/>
      <c r="C84" s="12"/>
      <c r="D84" s="14"/>
      <c r="E84" s="14" t="str">
        <f>IF(D84="","",ROUND(D84*0.2,0))</f>
        <v/>
      </c>
      <c r="F84" s="14" t="str">
        <f>IF(D84="","",D84+E84)</f>
        <v/>
      </c>
      <c r="G84" s="12">
        <v>6</v>
      </c>
      <c r="H84" s="15" t="e">
        <f>IF(G84="","",ROUND(F84/G84,0))</f>
        <v>#VALUE!</v>
      </c>
      <c r="I84" s="13" t="str">
        <f>IF(B84="","",WORKDAY.INTL(B84,G84,11))</f>
        <v/>
      </c>
      <c r="J84" s="14">
        <f>SUM(N84:BN84)</f>
        <v>0</v>
      </c>
      <c r="K84" s="14" t="str">
        <f>IF(F84="","",F84-J84)</f>
        <v/>
      </c>
      <c r="L84" s="12" t="str">
        <f>IF(OR(D84="",B84=""),"",IF(K84&lt;=0,"PAGADO",IF(M84&lt;=0,"AL DIA",IF(M84&lt;=1,"PENDIENTE","EN MORA"))))</f>
        <v/>
      </c>
      <c r="M84" s="12" t="str">
        <f>IF(OR(D84="",B84=""),"",MAX(0,NETWORKDAYS.INTL(B84,$D$2,11) - ROUND(J84/H84,0)))</f>
        <v/>
      </c>
    </row>
    <row r="85" spans="1:13" x14ac:dyDescent="0.25">
      <c r="A85" s="12">
        <v>80</v>
      </c>
      <c r="B85" s="13"/>
      <c r="C85" s="12"/>
      <c r="D85" s="14"/>
      <c r="E85" s="14" t="str">
        <f>IF(D85="","",ROUND(D85*0.2,0))</f>
        <v/>
      </c>
      <c r="F85" s="14" t="str">
        <f>IF(D85="","",D85+E85)</f>
        <v/>
      </c>
      <c r="G85" s="12">
        <v>6</v>
      </c>
      <c r="H85" s="15" t="e">
        <f>IF(G85="","",ROUND(F85/G85,0))</f>
        <v>#VALUE!</v>
      </c>
      <c r="I85" s="13" t="str">
        <f>IF(B85="","",WORKDAY.INTL(B85,G85,11))</f>
        <v/>
      </c>
      <c r="J85" s="14">
        <f>SUM(N85:BN85)</f>
        <v>0</v>
      </c>
      <c r="K85" s="14" t="str">
        <f>IF(F85="","",F85-J85)</f>
        <v/>
      </c>
      <c r="L85" s="12" t="str">
        <f>IF(OR(D85="",B85=""),"",IF(K85&lt;=0,"PAGADO",IF(M85&lt;=0,"AL DIA",IF(M85&lt;=1,"PENDIENTE","EN MORA"))))</f>
        <v/>
      </c>
      <c r="M85" s="12" t="str">
        <f>IF(OR(D85="",B85=""),"",MAX(0,NETWORKDAYS.INTL(B85,$D$2,11) - ROUND(J85/H85,0)))</f>
        <v/>
      </c>
    </row>
    <row r="86" spans="1:13" x14ac:dyDescent="0.25">
      <c r="A86" s="12">
        <v>81</v>
      </c>
      <c r="B86" s="13"/>
      <c r="C86" s="12"/>
      <c r="D86" s="14"/>
      <c r="E86" s="14" t="str">
        <f>IF(D86="","",ROUND(D86*0.2,0))</f>
        <v/>
      </c>
      <c r="F86" s="14" t="str">
        <f>IF(D86="","",D86+E86)</f>
        <v/>
      </c>
      <c r="G86" s="12">
        <v>6</v>
      </c>
      <c r="H86" s="15" t="e">
        <f>IF(G86="","",ROUND(F86/G86,0))</f>
        <v>#VALUE!</v>
      </c>
      <c r="I86" s="13" t="str">
        <f>IF(B86="","",WORKDAY.INTL(B86,G86,11))</f>
        <v/>
      </c>
      <c r="J86" s="14">
        <f>SUM(N86:BN86)</f>
        <v>0</v>
      </c>
      <c r="K86" s="14" t="str">
        <f>IF(F86="","",F86-J86)</f>
        <v/>
      </c>
      <c r="L86" s="12" t="str">
        <f>IF(OR(D86="",B86=""),"",IF(K86&lt;=0,"PAGADO",IF(M86&lt;=0,"AL DIA",IF(M86&lt;=1,"PENDIENTE","EN MORA"))))</f>
        <v/>
      </c>
      <c r="M86" s="12" t="str">
        <f>IF(OR(D86="",B86=""),"",MAX(0,NETWORKDAYS.INTL(B86,$D$2,11) - ROUND(J86/H86,0)))</f>
        <v/>
      </c>
    </row>
    <row r="87" spans="1:13" x14ac:dyDescent="0.25">
      <c r="A87" s="12">
        <v>82</v>
      </c>
      <c r="B87" s="13"/>
      <c r="C87" s="12"/>
      <c r="D87" s="14"/>
      <c r="E87" s="14" t="str">
        <f>IF(D87="","",ROUND(D87*0.2,0))</f>
        <v/>
      </c>
      <c r="F87" s="14" t="str">
        <f>IF(D87="","",D87+E87)</f>
        <v/>
      </c>
      <c r="G87" s="12">
        <v>6</v>
      </c>
      <c r="H87" s="15" t="e">
        <f>IF(G87="","",ROUND(F87/G87,0))</f>
        <v>#VALUE!</v>
      </c>
      <c r="I87" s="13" t="str">
        <f>IF(B87="","",WORKDAY.INTL(B87,G87,11))</f>
        <v/>
      </c>
      <c r="J87" s="14">
        <f>SUM(N87:BN87)</f>
        <v>0</v>
      </c>
      <c r="K87" s="14" t="str">
        <f>IF(F87="","",F87-J87)</f>
        <v/>
      </c>
      <c r="L87" s="12" t="str">
        <f>IF(OR(D87="",B87=""),"",IF(K87&lt;=0,"PAGADO",IF(M87&lt;=0,"AL DIA",IF(M87&lt;=1,"PENDIENTE","EN MORA"))))</f>
        <v/>
      </c>
      <c r="M87" s="12" t="str">
        <f>IF(OR(D87="",B87=""),"",MAX(0,NETWORKDAYS.INTL(B87,$D$2,11) - ROUND(J87/H87,0)))</f>
        <v/>
      </c>
    </row>
    <row r="88" spans="1:13" x14ac:dyDescent="0.25">
      <c r="A88" s="12">
        <v>83</v>
      </c>
      <c r="B88" s="13"/>
      <c r="C88" s="12"/>
      <c r="D88" s="14"/>
      <c r="E88" s="14" t="str">
        <f>IF(D88="","",ROUND(D88*0.2,0))</f>
        <v/>
      </c>
      <c r="F88" s="14" t="str">
        <f>IF(D88="","",D88+E88)</f>
        <v/>
      </c>
      <c r="G88" s="12">
        <v>6</v>
      </c>
      <c r="H88" s="15" t="e">
        <f>IF(G88="","",ROUND(F88/G88,0))</f>
        <v>#VALUE!</v>
      </c>
      <c r="I88" s="13" t="str">
        <f>IF(B88="","",WORKDAY.INTL(B88,G88,11))</f>
        <v/>
      </c>
      <c r="J88" s="14">
        <f>SUM(N88:BN88)</f>
        <v>0</v>
      </c>
      <c r="K88" s="14" t="str">
        <f>IF(F88="","",F88-J88)</f>
        <v/>
      </c>
      <c r="L88" s="12" t="str">
        <f>IF(OR(D88="",B88=""),"",IF(K88&lt;=0,"PAGADO",IF(M88&lt;=0,"AL DIA",IF(M88&lt;=1,"PENDIENTE","EN MORA"))))</f>
        <v/>
      </c>
      <c r="M88" s="12" t="str">
        <f>IF(OR(D88="",B88=""),"",MAX(0,NETWORKDAYS.INTL(B88,$D$2,11) - ROUND(J88/H88,0)))</f>
        <v/>
      </c>
    </row>
    <row r="89" spans="1:13" x14ac:dyDescent="0.25">
      <c r="A89" s="12">
        <v>84</v>
      </c>
      <c r="B89" s="13"/>
      <c r="C89" s="12"/>
      <c r="D89" s="14"/>
      <c r="E89" s="14" t="str">
        <f>IF(D89="","",ROUND(D89*0.2,0))</f>
        <v/>
      </c>
      <c r="F89" s="14" t="str">
        <f>IF(D89="","",D89+E89)</f>
        <v/>
      </c>
      <c r="G89" s="12">
        <v>6</v>
      </c>
      <c r="H89" s="15" t="e">
        <f>IF(G89="","",ROUND(F89/G89,0))</f>
        <v>#VALUE!</v>
      </c>
      <c r="I89" s="13" t="str">
        <f>IF(B89="","",WORKDAY.INTL(B89,G89,11))</f>
        <v/>
      </c>
      <c r="J89" s="14">
        <f>SUM(N89:BN89)</f>
        <v>0</v>
      </c>
      <c r="K89" s="14" t="str">
        <f>IF(F89="","",F89-J89)</f>
        <v/>
      </c>
      <c r="L89" s="12" t="str">
        <f>IF(OR(D89="",B89=""),"",IF(K89&lt;=0,"PAGADO",IF(M89&lt;=0,"AL DIA",IF(M89&lt;=1,"PENDIENTE","EN MORA"))))</f>
        <v/>
      </c>
      <c r="M89" s="12" t="str">
        <f>IF(OR(D89="",B89=""),"",MAX(0,NETWORKDAYS.INTL(B89,$D$2,11) - ROUND(J89/H89,0)))</f>
        <v/>
      </c>
    </row>
    <row r="90" spans="1:13" x14ac:dyDescent="0.25">
      <c r="A90" s="12">
        <v>85</v>
      </c>
      <c r="B90" s="13"/>
      <c r="C90" s="12"/>
      <c r="D90" s="14"/>
      <c r="E90" s="14" t="str">
        <f>IF(D90="","",ROUND(D90*0.2,0))</f>
        <v/>
      </c>
      <c r="F90" s="14" t="str">
        <f>IF(D90="","",D90+E90)</f>
        <v/>
      </c>
      <c r="G90" s="12">
        <v>6</v>
      </c>
      <c r="H90" s="15" t="e">
        <f>IF(G90="","",ROUND(F90/G90,0))</f>
        <v>#VALUE!</v>
      </c>
      <c r="I90" s="13" t="str">
        <f>IF(B90="","",WORKDAY.INTL(B90,G90,11))</f>
        <v/>
      </c>
      <c r="J90" s="14">
        <f>SUM(N90:BN90)</f>
        <v>0</v>
      </c>
      <c r="K90" s="14" t="str">
        <f>IF(F90="","",F90-J90)</f>
        <v/>
      </c>
      <c r="L90" s="12" t="str">
        <f>IF(OR(D90="",B90=""),"",IF(K90&lt;=0,"PAGADO",IF(M90&lt;=0,"AL DIA",IF(M90&lt;=1,"PENDIENTE","EN MORA"))))</f>
        <v/>
      </c>
      <c r="M90" s="12" t="str">
        <f>IF(OR(D90="",B90=""),"",MAX(0,NETWORKDAYS.INTL(B90,$D$2,11) - ROUND(J90/H90,0)))</f>
        <v/>
      </c>
    </row>
    <row r="91" spans="1:13" x14ac:dyDescent="0.25">
      <c r="A91" s="12">
        <v>86</v>
      </c>
      <c r="B91" s="13"/>
      <c r="C91" s="12"/>
      <c r="D91" s="14"/>
      <c r="E91" s="14" t="str">
        <f>IF(D91="","",ROUND(D91*0.2,0))</f>
        <v/>
      </c>
      <c r="F91" s="14" t="str">
        <f>IF(D91="","",D91+E91)</f>
        <v/>
      </c>
      <c r="G91" s="12">
        <v>6</v>
      </c>
      <c r="H91" s="15" t="e">
        <f>IF(G91="","",ROUND(F91/G91,0))</f>
        <v>#VALUE!</v>
      </c>
      <c r="I91" s="13" t="str">
        <f>IF(B91="","",WORKDAY.INTL(B91,G91,11))</f>
        <v/>
      </c>
      <c r="J91" s="14">
        <f>SUM(N91:BN91)</f>
        <v>0</v>
      </c>
      <c r="K91" s="14" t="str">
        <f>IF(F91="","",F91-J91)</f>
        <v/>
      </c>
      <c r="L91" s="12" t="str">
        <f>IF(OR(D91="",B91=""),"",IF(K91&lt;=0,"PAGADO",IF(M91&lt;=0,"AL DIA",IF(M91&lt;=1,"PENDIENTE","EN MORA"))))</f>
        <v/>
      </c>
      <c r="M91" s="12" t="str">
        <f>IF(OR(D91="",B91=""),"",MAX(0,NETWORKDAYS.INTL(B91,$D$2,11) - ROUND(J91/H91,0)))</f>
        <v/>
      </c>
    </row>
    <row r="92" spans="1:13" x14ac:dyDescent="0.25">
      <c r="A92" s="12">
        <v>87</v>
      </c>
      <c r="B92" s="13"/>
      <c r="C92" s="12"/>
      <c r="D92" s="14"/>
      <c r="E92" s="14" t="str">
        <f>IF(D92="","",ROUND(D92*0.2,0))</f>
        <v/>
      </c>
      <c r="F92" s="14" t="str">
        <f>IF(D92="","",D92+E92)</f>
        <v/>
      </c>
      <c r="G92" s="12">
        <v>6</v>
      </c>
      <c r="H92" s="15" t="e">
        <f>IF(G92="","",ROUND(F92/G92,0))</f>
        <v>#VALUE!</v>
      </c>
      <c r="I92" s="13" t="str">
        <f>IF(B92="","",WORKDAY.INTL(B92,G92,11))</f>
        <v/>
      </c>
      <c r="J92" s="14">
        <f>SUM(N92:BN92)</f>
        <v>0</v>
      </c>
      <c r="K92" s="14" t="str">
        <f>IF(F92="","",F92-J92)</f>
        <v/>
      </c>
      <c r="L92" s="12" t="str">
        <f>IF(OR(D92="",B92=""),"",IF(K92&lt;=0,"PAGADO",IF(M92&lt;=0,"AL DIA",IF(M92&lt;=1,"PENDIENTE","EN MORA"))))</f>
        <v/>
      </c>
      <c r="M92" s="12" t="str">
        <f>IF(OR(D92="",B92=""),"",MAX(0,NETWORKDAYS.INTL(B92,$D$2,11) - ROUND(J92/H92,0)))</f>
        <v/>
      </c>
    </row>
    <row r="93" spans="1:13" x14ac:dyDescent="0.25">
      <c r="A93" s="12">
        <v>88</v>
      </c>
      <c r="B93" s="13"/>
      <c r="C93" s="12"/>
      <c r="D93" s="14"/>
      <c r="E93" s="14" t="str">
        <f>IF(D93="","",ROUND(D93*0.2,0))</f>
        <v/>
      </c>
      <c r="F93" s="14" t="str">
        <f>IF(D93="","",D93+E93)</f>
        <v/>
      </c>
      <c r="G93" s="12">
        <v>6</v>
      </c>
      <c r="H93" s="15" t="e">
        <f>IF(G93="","",ROUND(F93/G93,0))</f>
        <v>#VALUE!</v>
      </c>
      <c r="I93" s="13" t="str">
        <f>IF(B93="","",WORKDAY.INTL(B93,G93,11))</f>
        <v/>
      </c>
      <c r="J93" s="14">
        <f>SUM(N93:BN93)</f>
        <v>0</v>
      </c>
      <c r="K93" s="14" t="str">
        <f>IF(F93="","",F93-J93)</f>
        <v/>
      </c>
      <c r="L93" s="12" t="str">
        <f>IF(OR(D93="",B93=""),"",IF(K93&lt;=0,"PAGADO",IF(M93&lt;=0,"AL DIA",IF(M93&lt;=1,"PENDIENTE","EN MORA"))))</f>
        <v/>
      </c>
      <c r="M93" s="12" t="str">
        <f>IF(OR(D93="",B93=""),"",MAX(0,NETWORKDAYS.INTL(B93,$D$2,11) - ROUND(J93/H93,0)))</f>
        <v/>
      </c>
    </row>
    <row r="94" spans="1:13" x14ac:dyDescent="0.25">
      <c r="A94" s="12">
        <v>89</v>
      </c>
      <c r="B94" s="13"/>
      <c r="C94" s="12"/>
      <c r="D94" s="14"/>
      <c r="E94" s="14" t="str">
        <f>IF(D94="","",ROUND(D94*0.2,0))</f>
        <v/>
      </c>
      <c r="F94" s="14" t="str">
        <f>IF(D94="","",D94+E94)</f>
        <v/>
      </c>
      <c r="G94" s="12">
        <v>6</v>
      </c>
      <c r="H94" s="15" t="e">
        <f>IF(G94="","",ROUND(F94/G94,0))</f>
        <v>#VALUE!</v>
      </c>
      <c r="I94" s="13" t="str">
        <f>IF(B94="","",WORKDAY.INTL(B94,G94,11))</f>
        <v/>
      </c>
      <c r="J94" s="14">
        <f>SUM(N94:BN94)</f>
        <v>0</v>
      </c>
      <c r="K94" s="14" t="str">
        <f>IF(F94="","",F94-J94)</f>
        <v/>
      </c>
      <c r="L94" s="12" t="str">
        <f>IF(OR(D94="",B94=""),"",IF(K94&lt;=0,"PAGADO",IF(M94&lt;=0,"AL DIA",IF(M94&lt;=1,"PENDIENTE","EN MORA"))))</f>
        <v/>
      </c>
      <c r="M94" s="12" t="str">
        <f>IF(OR(D94="",B94=""),"",MAX(0,NETWORKDAYS.INTL(B94,$D$2,11) - ROUND(J94/H94,0)))</f>
        <v/>
      </c>
    </row>
    <row r="95" spans="1:13" x14ac:dyDescent="0.25">
      <c r="A95" s="12">
        <v>90</v>
      </c>
      <c r="B95" s="13"/>
      <c r="C95" s="12"/>
      <c r="D95" s="14"/>
      <c r="E95" s="14" t="str">
        <f>IF(D95="","",ROUND(D95*0.2,0))</f>
        <v/>
      </c>
      <c r="F95" s="14" t="str">
        <f>IF(D95="","",D95+E95)</f>
        <v/>
      </c>
      <c r="G95" s="12">
        <v>6</v>
      </c>
      <c r="H95" s="15" t="e">
        <f>IF(G95="","",ROUND(F95/G95,0))</f>
        <v>#VALUE!</v>
      </c>
      <c r="I95" s="13" t="str">
        <f>IF(B95="","",WORKDAY.INTL(B95,G95,11))</f>
        <v/>
      </c>
      <c r="J95" s="14">
        <f>SUM(N95:BN95)</f>
        <v>0</v>
      </c>
      <c r="K95" s="14" t="str">
        <f>IF(F95="","",F95-J95)</f>
        <v/>
      </c>
      <c r="L95" s="12" t="str">
        <f>IF(OR(D95="",B95=""),"",IF(K95&lt;=0,"PAGADO",IF(M95&lt;=0,"AL DIA",IF(M95&lt;=1,"PENDIENTE","EN MORA"))))</f>
        <v/>
      </c>
      <c r="M95" s="12" t="str">
        <f>IF(OR(D95="",B95=""),"",MAX(0,NETWORKDAYS.INTL(B95,$D$2,11) - ROUND(J95/H95,0)))</f>
        <v/>
      </c>
    </row>
    <row r="96" spans="1:13" x14ac:dyDescent="0.25">
      <c r="A96" s="12">
        <v>91</v>
      </c>
      <c r="B96" s="13"/>
      <c r="C96" s="12"/>
      <c r="D96" s="14"/>
      <c r="E96" s="14" t="str">
        <f>IF(D96="","",ROUND(D96*0.2,0))</f>
        <v/>
      </c>
      <c r="F96" s="14" t="str">
        <f>IF(D96="","",D96+E96)</f>
        <v/>
      </c>
      <c r="G96" s="12">
        <v>6</v>
      </c>
      <c r="H96" s="15" t="e">
        <f>IF(G96="","",ROUND(F96/G96,0))</f>
        <v>#VALUE!</v>
      </c>
      <c r="I96" s="13" t="str">
        <f>IF(B96="","",WORKDAY.INTL(B96,G96,11))</f>
        <v/>
      </c>
      <c r="J96" s="14">
        <f>SUM(N96:BN96)</f>
        <v>0</v>
      </c>
      <c r="K96" s="14" t="str">
        <f>IF(F96="","",F96-J96)</f>
        <v/>
      </c>
      <c r="L96" s="12" t="str">
        <f>IF(OR(D96="",B96=""),"",IF(K96&lt;=0,"PAGADO",IF(M96&lt;=0,"AL DIA",IF(M96&lt;=1,"PENDIENTE","EN MORA"))))</f>
        <v/>
      </c>
      <c r="M96" s="12" t="str">
        <f>IF(OR(D96="",B96=""),"",MAX(0,NETWORKDAYS.INTL(B96,$D$2,11) - ROUND(J96/H96,0)))</f>
        <v/>
      </c>
    </row>
    <row r="97" spans="1:13" x14ac:dyDescent="0.25">
      <c r="A97" s="12">
        <v>92</v>
      </c>
      <c r="B97" s="13"/>
      <c r="C97" s="12"/>
      <c r="D97" s="14"/>
      <c r="E97" s="14" t="str">
        <f>IF(D97="","",ROUND(D97*0.2,0))</f>
        <v/>
      </c>
      <c r="F97" s="14" t="str">
        <f>IF(D97="","",D97+E97)</f>
        <v/>
      </c>
      <c r="G97" s="12">
        <v>6</v>
      </c>
      <c r="H97" s="15" t="e">
        <f>IF(G97="","",ROUND(F97/G97,0))</f>
        <v>#VALUE!</v>
      </c>
      <c r="I97" s="13" t="str">
        <f>IF(B97="","",WORKDAY.INTL(B97,G97,11))</f>
        <v/>
      </c>
      <c r="J97" s="14">
        <f>SUM(N97:BN97)</f>
        <v>0</v>
      </c>
      <c r="K97" s="14" t="str">
        <f>IF(F97="","",F97-J97)</f>
        <v/>
      </c>
      <c r="L97" s="12" t="str">
        <f>IF(OR(D97="",B97=""),"",IF(K97&lt;=0,"PAGADO",IF(M97&lt;=0,"AL DIA",IF(M97&lt;=1,"PENDIENTE","EN MORA"))))</f>
        <v/>
      </c>
      <c r="M97" s="12" t="str">
        <f>IF(OR(D97="",B97=""),"",MAX(0,NETWORKDAYS.INTL(B97,$D$2,11) - ROUND(J97/H97,0)))</f>
        <v/>
      </c>
    </row>
    <row r="98" spans="1:13" x14ac:dyDescent="0.25">
      <c r="A98" s="12">
        <v>93</v>
      </c>
      <c r="B98" s="13"/>
      <c r="C98" s="12"/>
      <c r="D98" s="14"/>
      <c r="E98" s="14" t="str">
        <f>IF(D98="","",ROUND(D98*0.2,0))</f>
        <v/>
      </c>
      <c r="F98" s="14" t="str">
        <f>IF(D98="","",D98+E98)</f>
        <v/>
      </c>
      <c r="G98" s="12">
        <v>6</v>
      </c>
      <c r="H98" s="15" t="e">
        <f>IF(G98="","",ROUND(F98/G98,0))</f>
        <v>#VALUE!</v>
      </c>
      <c r="I98" s="13" t="str">
        <f>IF(B98="","",WORKDAY.INTL(B98,G98,11))</f>
        <v/>
      </c>
      <c r="J98" s="14">
        <f>SUM(N98:BN98)</f>
        <v>0</v>
      </c>
      <c r="K98" s="14" t="str">
        <f>IF(F98="","",F98-J98)</f>
        <v/>
      </c>
      <c r="L98" s="12" t="str">
        <f>IF(OR(D98="",B98=""),"",IF(K98&lt;=0,"PAGADO",IF(M98&lt;=0,"AL DIA",IF(M98&lt;=1,"PENDIENTE","EN MORA"))))</f>
        <v/>
      </c>
      <c r="M98" s="12" t="str">
        <f>IF(OR(D98="",B98=""),"",MAX(0,NETWORKDAYS.INTL(B98,$D$2,11) - ROUND(J98/H98,0)))</f>
        <v/>
      </c>
    </row>
    <row r="99" spans="1:13" x14ac:dyDescent="0.25">
      <c r="A99" s="12">
        <v>94</v>
      </c>
      <c r="B99" s="13"/>
      <c r="C99" s="12"/>
      <c r="D99" s="14"/>
      <c r="E99" s="14" t="str">
        <f>IF(D99="","",ROUND(D99*0.2,0))</f>
        <v/>
      </c>
      <c r="F99" s="14" t="str">
        <f>IF(D99="","",D99+E99)</f>
        <v/>
      </c>
      <c r="G99" s="12">
        <v>6</v>
      </c>
      <c r="H99" s="15" t="e">
        <f>IF(G99="","",ROUND(F99/G99,0))</f>
        <v>#VALUE!</v>
      </c>
      <c r="I99" s="13" t="str">
        <f>IF(B99="","",WORKDAY.INTL(B99,G99,11))</f>
        <v/>
      </c>
      <c r="J99" s="14">
        <f>SUM(N99:BN99)</f>
        <v>0</v>
      </c>
      <c r="K99" s="14" t="str">
        <f>IF(F99="","",F99-J99)</f>
        <v/>
      </c>
      <c r="L99" s="12" t="str">
        <f>IF(OR(D99="",B99=""),"",IF(K99&lt;=0,"PAGADO",IF(M99&lt;=0,"AL DIA",IF(M99&lt;=1,"PENDIENTE","EN MORA"))))</f>
        <v/>
      </c>
      <c r="M99" s="12" t="str">
        <f>IF(OR(D99="",B99=""),"",MAX(0,NETWORKDAYS.INTL(B99,$D$2,11) - ROUND(J99/H99,0)))</f>
        <v/>
      </c>
    </row>
    <row r="100" spans="1:13" x14ac:dyDescent="0.25">
      <c r="A100" s="12">
        <v>95</v>
      </c>
      <c r="B100" s="13"/>
      <c r="C100" s="12"/>
      <c r="D100" s="14"/>
      <c r="E100" s="14" t="str">
        <f>IF(D100="","",ROUND(D100*0.2,0))</f>
        <v/>
      </c>
      <c r="F100" s="14" t="str">
        <f>IF(D100="","",D100+E100)</f>
        <v/>
      </c>
      <c r="G100" s="12">
        <v>6</v>
      </c>
      <c r="H100" s="15" t="e">
        <f>IF(G100="","",ROUND(F100/G100,0))</f>
        <v>#VALUE!</v>
      </c>
      <c r="I100" s="13" t="str">
        <f>IF(B100="","",WORKDAY.INTL(B100,G100,11))</f>
        <v/>
      </c>
      <c r="J100" s="14">
        <f>SUM(N100:BN100)</f>
        <v>0</v>
      </c>
      <c r="K100" s="14" t="str">
        <f>IF(F100="","",F100-J100)</f>
        <v/>
      </c>
      <c r="L100" s="12" t="str">
        <f>IF(OR(D100="",B100=""),"",IF(K100&lt;=0,"PAGADO",IF(M100&lt;=0,"AL DIA",IF(M100&lt;=1,"PENDIENTE","EN MORA"))))</f>
        <v/>
      </c>
      <c r="M100" s="12" t="str">
        <f>IF(OR(D100="",B100=""),"",MAX(0,NETWORKDAYS.INTL(B100,$D$2,11) - ROUND(J100/H100,0)))</f>
        <v/>
      </c>
    </row>
    <row r="101" spans="1:13" x14ac:dyDescent="0.25">
      <c r="A101" s="12">
        <v>96</v>
      </c>
      <c r="B101" s="13"/>
      <c r="C101" s="12"/>
      <c r="D101" s="14"/>
      <c r="E101" s="14" t="str">
        <f>IF(D101="","",ROUND(D101*0.2,0))</f>
        <v/>
      </c>
      <c r="F101" s="14" t="str">
        <f>IF(D101="","",D101+E101)</f>
        <v/>
      </c>
      <c r="G101" s="12">
        <v>6</v>
      </c>
      <c r="H101" s="15" t="e">
        <f>IF(G101="","",ROUND(F101/G101,0))</f>
        <v>#VALUE!</v>
      </c>
      <c r="I101" s="13" t="str">
        <f>IF(B101="","",WORKDAY.INTL(B101,G101,11))</f>
        <v/>
      </c>
      <c r="J101" s="14">
        <f>SUM(N101:BN101)</f>
        <v>0</v>
      </c>
      <c r="K101" s="14" t="str">
        <f>IF(F101="","",F101-J101)</f>
        <v/>
      </c>
      <c r="L101" s="12" t="str">
        <f>IF(OR(D101="",B101=""),"",IF(K101&lt;=0,"PAGADO",IF(M101&lt;=0,"AL DIA",IF(M101&lt;=1,"PENDIENTE","EN MORA"))))</f>
        <v/>
      </c>
      <c r="M101" s="12" t="str">
        <f>IF(OR(D101="",B101=""),"",MAX(0,NETWORKDAYS.INTL(B101,$D$2,11) - ROUND(J101/H101,0)))</f>
        <v/>
      </c>
    </row>
    <row r="102" spans="1:13" x14ac:dyDescent="0.25">
      <c r="A102" s="12">
        <v>97</v>
      </c>
      <c r="B102" s="13"/>
      <c r="C102" s="12"/>
      <c r="D102" s="14"/>
      <c r="E102" s="14" t="str">
        <f>IF(D102="","",ROUND(D102*0.2,0))</f>
        <v/>
      </c>
      <c r="F102" s="14" t="str">
        <f>IF(D102="","",D102+E102)</f>
        <v/>
      </c>
      <c r="G102" s="12">
        <v>6</v>
      </c>
      <c r="H102" s="15" t="e">
        <f>IF(G102="","",ROUND(F102/G102,0))</f>
        <v>#VALUE!</v>
      </c>
      <c r="I102" s="13" t="str">
        <f>IF(B102="","",WORKDAY.INTL(B102,G102,11))</f>
        <v/>
      </c>
      <c r="J102" s="14">
        <f>SUM(N102:BN102)</f>
        <v>0</v>
      </c>
      <c r="K102" s="14" t="str">
        <f>IF(F102="","",F102-J102)</f>
        <v/>
      </c>
      <c r="L102" s="12" t="str">
        <f>IF(OR(D102="",B102=""),"",IF(K102&lt;=0,"PAGADO",IF(M102&lt;=0,"AL DIA",IF(M102&lt;=1,"PENDIENTE","EN MORA"))))</f>
        <v/>
      </c>
      <c r="M102" s="12" t="str">
        <f>IF(OR(D102="",B102=""),"",MAX(0,NETWORKDAYS.INTL(B102,$D$2,11) - ROUND(J102/H102,0)))</f>
        <v/>
      </c>
    </row>
    <row r="103" spans="1:13" x14ac:dyDescent="0.25">
      <c r="A103" s="12">
        <v>98</v>
      </c>
      <c r="B103" s="13"/>
      <c r="C103" s="12"/>
      <c r="D103" s="14"/>
      <c r="E103" s="14" t="str">
        <f>IF(D103="","",ROUND(D103*0.2,0))</f>
        <v/>
      </c>
      <c r="F103" s="14" t="str">
        <f>IF(D103="","",D103+E103)</f>
        <v/>
      </c>
      <c r="G103" s="12">
        <v>6</v>
      </c>
      <c r="H103" s="15" t="e">
        <f>IF(G103="","",ROUND(F103/G103,0))</f>
        <v>#VALUE!</v>
      </c>
      <c r="I103" s="13" t="str">
        <f>IF(B103="","",WORKDAY.INTL(B103,G103,11))</f>
        <v/>
      </c>
      <c r="J103" s="14">
        <f>SUM(N103:BN103)</f>
        <v>0</v>
      </c>
      <c r="K103" s="14" t="str">
        <f>IF(F103="","",F103-J103)</f>
        <v/>
      </c>
      <c r="L103" s="12" t="str">
        <f>IF(OR(D103="",B103=""),"",IF(K103&lt;=0,"PAGADO",IF(M103&lt;=0,"AL DIA",IF(M103&lt;=1,"PENDIENTE","EN MORA"))))</f>
        <v/>
      </c>
      <c r="M103" s="12" t="str">
        <f>IF(OR(D103="",B103=""),"",MAX(0,NETWORKDAYS.INTL(B103,$D$2,11) - ROUND(J103/H103,0)))</f>
        <v/>
      </c>
    </row>
    <row r="104" spans="1:13" x14ac:dyDescent="0.25">
      <c r="A104" s="12">
        <v>99</v>
      </c>
      <c r="B104" s="13"/>
      <c r="C104" s="12"/>
      <c r="D104" s="14"/>
      <c r="E104" s="14" t="str">
        <f>IF(D104="","",ROUND(D104*0.2,0))</f>
        <v/>
      </c>
      <c r="F104" s="14" t="str">
        <f>IF(D104="","",D104+E104)</f>
        <v/>
      </c>
      <c r="G104" s="12">
        <v>6</v>
      </c>
      <c r="H104" s="15" t="e">
        <f>IF(G104="","",ROUND(F104/G104,0))</f>
        <v>#VALUE!</v>
      </c>
      <c r="I104" s="13" t="str">
        <f>IF(B104="","",WORKDAY.INTL(B104,G104,11))</f>
        <v/>
      </c>
      <c r="J104" s="14">
        <f>SUM(N104:BN104)</f>
        <v>0</v>
      </c>
      <c r="K104" s="14" t="str">
        <f>IF(F104="","",F104-J104)</f>
        <v/>
      </c>
      <c r="L104" s="12" t="str">
        <f>IF(OR(D104="",B104=""),"",IF(K104&lt;=0,"PAGADO",IF(M104&lt;=0,"AL DIA",IF(M104&lt;=1,"PENDIENTE","EN MORA"))))</f>
        <v/>
      </c>
      <c r="M104" s="12" t="str">
        <f>IF(OR(D104="",B104=""),"",MAX(0,NETWORKDAYS.INTL(B104,$D$2,11) - ROUND(J104/H104,0)))</f>
        <v/>
      </c>
    </row>
    <row r="105" spans="1:13" x14ac:dyDescent="0.25">
      <c r="A105" s="12">
        <v>100</v>
      </c>
      <c r="B105" s="13"/>
      <c r="C105" s="12"/>
      <c r="D105" s="14"/>
      <c r="E105" s="14" t="str">
        <f>IF(D105="","",ROUND(D105*0.2,0))</f>
        <v/>
      </c>
      <c r="F105" s="14" t="str">
        <f>IF(D105="","",D105+E105)</f>
        <v/>
      </c>
      <c r="G105" s="12">
        <v>6</v>
      </c>
      <c r="H105" s="15" t="e">
        <f>IF(G105="","",ROUND(F105/G105,0))</f>
        <v>#VALUE!</v>
      </c>
      <c r="I105" s="13" t="str">
        <f>IF(B105="","",WORKDAY.INTL(B105,G105,11))</f>
        <v/>
      </c>
      <c r="J105" s="14">
        <f>SUM(N105:BN105)</f>
        <v>0</v>
      </c>
      <c r="K105" s="14" t="str">
        <f>IF(F105="","",F105-J105)</f>
        <v/>
      </c>
      <c r="L105" s="12" t="str">
        <f>IF(OR(D105="",B105=""),"",IF(K105&lt;=0,"PAGADO",IF(M105&lt;=0,"AL DIA",IF(M105&lt;=1,"PENDIENTE","EN MORA"))))</f>
        <v/>
      </c>
      <c r="M105" s="12" t="str">
        <f>IF(OR(D105="",B105=""),"",MAX(0,NETWORKDAYS.INTL(B105,$D$2,11) - ROUND(J105/H105,0)))</f>
        <v/>
      </c>
    </row>
    <row r="106" spans="1:13" x14ac:dyDescent="0.25">
      <c r="A106" s="12">
        <v>101</v>
      </c>
      <c r="B106" s="13"/>
      <c r="C106" s="12"/>
      <c r="D106" s="14"/>
      <c r="E106" s="14" t="str">
        <f>IF(D106="","",ROUND(D106*0.2,0))</f>
        <v/>
      </c>
      <c r="F106" s="14" t="str">
        <f>IF(D106="","",D106+E106)</f>
        <v/>
      </c>
      <c r="G106" s="12">
        <v>6</v>
      </c>
      <c r="H106" s="15" t="e">
        <f>IF(G106="","",ROUND(F106/G106,0))</f>
        <v>#VALUE!</v>
      </c>
      <c r="I106" s="13" t="str">
        <f>IF(B106="","",WORKDAY.INTL(B106,G106,11))</f>
        <v/>
      </c>
      <c r="J106" s="14">
        <f>SUM(N106:BN106)</f>
        <v>0</v>
      </c>
      <c r="K106" s="14" t="str">
        <f>IF(F106="","",F106-J106)</f>
        <v/>
      </c>
      <c r="L106" s="12" t="str">
        <f>IF(OR(D106="",B106=""),"",IF(K106&lt;=0,"PAGADO",IF(M106&lt;=0,"AL DIA",IF(M106&lt;=1,"PENDIENTE","EN MORA"))))</f>
        <v/>
      </c>
      <c r="M106" s="12" t="str">
        <f>IF(OR(D106="",B106=""),"",MAX(0,NETWORKDAYS.INTL(B106,$D$2,11) - ROUND(J106/H106,0)))</f>
        <v/>
      </c>
    </row>
  </sheetData>
  <conditionalFormatting sqref="L6:L106">
    <cfRule type="cellIs" dxfId="3" priority="1" stopIfTrue="1" operator="equal">
      <formula>"EN MORA"</formula>
    </cfRule>
    <cfRule type="cellIs" dxfId="2" priority="2" stopIfTrue="1" operator="equal">
      <formula>"PENDIENTE"</formula>
    </cfRule>
    <cfRule type="cellIs" dxfId="1" priority="3" stopIfTrue="1" operator="equal">
      <formula>"AL DIA"</formula>
    </cfRule>
    <cfRule type="cellIs" dxfId="0" priority="4" stopIfTrue="1" operator="equal">
      <formula>"PAGADO"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A6E27C5-91DB-4E23-BE7E-D26F450ADA73}">
          <x14:formula1>
            <xm:f>LISTA_V5!$A$1:$A$1461</xm:f>
          </x14:formula1>
          <xm: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xm:sqref>
        </x14:dataValidation>
        <x14:dataValidation type="list" allowBlank="1" showInputMessage="1" showErrorMessage="1" xr:uid="{B017424D-8EDB-4174-AA56-E81852EB705C}">
          <x14:formula1>
            <xm:f>LISTA_V5!$B$1:$B$30</xm:f>
          </x14:formula1>
          <xm: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LISTA_V5</vt:lpstr>
      <vt:lpstr>SISTEMA_V5_PREMIUM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dc:creator>
  <cp:lastModifiedBy>CRISTIAN</cp:lastModifiedBy>
  <dcterms:created xsi:type="dcterms:W3CDTF">2026-02-04T18:11:11Z</dcterms:created>
  <dcterms:modified xsi:type="dcterms:W3CDTF">2026-02-04T18:11:23Z</dcterms:modified>
</cp:coreProperties>
</file>