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overAI\Sistema_Prestamos\"/>
    </mc:Choice>
  </mc:AlternateContent>
  <xr:revisionPtr revIDLastSave="0" documentId="8_{E276814A-97BD-49BC-BD9E-2A75CDDA9605}" xr6:coauthVersionLast="47" xr6:coauthVersionMax="47" xr10:uidLastSave="{00000000-0000-0000-0000-000000000000}"/>
  <bookViews>
    <workbookView xWindow="-120" yWindow="-120" windowWidth="29040" windowHeight="15840" xr2:uid="{1E47F639-DC01-4981-8918-766C05906D4C}"/>
  </bookViews>
  <sheets>
    <sheet name="INSTRUCCIONES" sheetId="3" r:id="rId1"/>
    <sheet name="REGISTRO_DIARIO_PAGOS" sheetId="2" r:id="rId2"/>
    <sheet name="SISTEMA_COBROS_V2" sheetId="1" r:id="rId3"/>
  </sheets>
  <definedNames>
    <definedName name="_xlnm._FilterDatabase" localSheetId="1" hidden="1">REGISTRO_DIARIO_PAGOS!$A$1:$D$1</definedName>
    <definedName name="_xlnm._FilterDatabase" localSheetId="2" hidden="1">SISTEMA_COBROS_V2!$A$5:$M$5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06" i="1" l="1"/>
  <c r="K106" i="1"/>
  <c r="I106" i="1"/>
  <c r="H106" i="1"/>
  <c r="F106" i="1"/>
  <c r="E106" i="1"/>
  <c r="L105" i="1"/>
  <c r="K105" i="1"/>
  <c r="I105" i="1"/>
  <c r="H105" i="1"/>
  <c r="F105" i="1"/>
  <c r="E105" i="1"/>
  <c r="L104" i="1"/>
  <c r="K104" i="1"/>
  <c r="I104" i="1"/>
  <c r="H104" i="1"/>
  <c r="F104" i="1"/>
  <c r="E104" i="1"/>
  <c r="L103" i="1"/>
  <c r="K103" i="1"/>
  <c r="I103" i="1"/>
  <c r="H103" i="1"/>
  <c r="F103" i="1"/>
  <c r="E103" i="1"/>
  <c r="L102" i="1"/>
  <c r="K102" i="1"/>
  <c r="I102" i="1"/>
  <c r="H102" i="1"/>
  <c r="F102" i="1"/>
  <c r="E102" i="1"/>
  <c r="L101" i="1"/>
  <c r="K101" i="1"/>
  <c r="I101" i="1"/>
  <c r="H101" i="1"/>
  <c r="F101" i="1"/>
  <c r="E101" i="1"/>
  <c r="L100" i="1"/>
  <c r="K100" i="1"/>
  <c r="I100" i="1"/>
  <c r="H100" i="1"/>
  <c r="F100" i="1"/>
  <c r="E100" i="1"/>
  <c r="L99" i="1"/>
  <c r="K99" i="1"/>
  <c r="I99" i="1"/>
  <c r="H99" i="1"/>
  <c r="F99" i="1"/>
  <c r="E99" i="1"/>
  <c r="L98" i="1"/>
  <c r="K98" i="1"/>
  <c r="I98" i="1"/>
  <c r="H98" i="1"/>
  <c r="F98" i="1"/>
  <c r="E98" i="1"/>
  <c r="L97" i="1"/>
  <c r="K97" i="1"/>
  <c r="I97" i="1"/>
  <c r="H97" i="1"/>
  <c r="F97" i="1"/>
  <c r="E97" i="1"/>
  <c r="L96" i="1"/>
  <c r="K96" i="1"/>
  <c r="I96" i="1"/>
  <c r="H96" i="1"/>
  <c r="F96" i="1"/>
  <c r="E96" i="1"/>
  <c r="L95" i="1"/>
  <c r="K95" i="1"/>
  <c r="I95" i="1"/>
  <c r="H95" i="1"/>
  <c r="F95" i="1"/>
  <c r="E95" i="1"/>
  <c r="L94" i="1"/>
  <c r="K94" i="1"/>
  <c r="I94" i="1"/>
  <c r="H94" i="1"/>
  <c r="F94" i="1"/>
  <c r="E94" i="1"/>
  <c r="L93" i="1"/>
  <c r="K93" i="1"/>
  <c r="I93" i="1"/>
  <c r="H93" i="1"/>
  <c r="F93" i="1"/>
  <c r="E93" i="1"/>
  <c r="L92" i="1"/>
  <c r="K92" i="1"/>
  <c r="I92" i="1"/>
  <c r="H92" i="1"/>
  <c r="F92" i="1"/>
  <c r="E92" i="1"/>
  <c r="L91" i="1"/>
  <c r="K91" i="1"/>
  <c r="I91" i="1"/>
  <c r="H91" i="1"/>
  <c r="F91" i="1"/>
  <c r="E91" i="1"/>
  <c r="L90" i="1"/>
  <c r="K90" i="1"/>
  <c r="I90" i="1"/>
  <c r="H90" i="1"/>
  <c r="F90" i="1"/>
  <c r="E90" i="1"/>
  <c r="L89" i="1"/>
  <c r="K89" i="1"/>
  <c r="I89" i="1"/>
  <c r="H89" i="1"/>
  <c r="F89" i="1"/>
  <c r="E89" i="1"/>
  <c r="L88" i="1"/>
  <c r="K88" i="1"/>
  <c r="I88" i="1"/>
  <c r="H88" i="1"/>
  <c r="F88" i="1"/>
  <c r="E88" i="1"/>
  <c r="L87" i="1"/>
  <c r="K87" i="1"/>
  <c r="I87" i="1"/>
  <c r="H87" i="1"/>
  <c r="F87" i="1"/>
  <c r="E87" i="1"/>
  <c r="L86" i="1"/>
  <c r="K86" i="1"/>
  <c r="I86" i="1"/>
  <c r="H86" i="1"/>
  <c r="F86" i="1"/>
  <c r="E86" i="1"/>
  <c r="L85" i="1"/>
  <c r="K85" i="1"/>
  <c r="I85" i="1"/>
  <c r="H85" i="1"/>
  <c r="F85" i="1"/>
  <c r="E85" i="1"/>
  <c r="L84" i="1"/>
  <c r="K84" i="1"/>
  <c r="I84" i="1"/>
  <c r="H84" i="1"/>
  <c r="F84" i="1"/>
  <c r="E84" i="1"/>
  <c r="L83" i="1"/>
  <c r="K83" i="1"/>
  <c r="I83" i="1"/>
  <c r="H83" i="1"/>
  <c r="F83" i="1"/>
  <c r="E83" i="1"/>
  <c r="L82" i="1"/>
  <c r="K82" i="1"/>
  <c r="I82" i="1"/>
  <c r="H82" i="1"/>
  <c r="F82" i="1"/>
  <c r="E82" i="1"/>
  <c r="L81" i="1"/>
  <c r="K81" i="1"/>
  <c r="I81" i="1"/>
  <c r="H81" i="1"/>
  <c r="F81" i="1"/>
  <c r="E81" i="1"/>
  <c r="L80" i="1"/>
  <c r="K80" i="1"/>
  <c r="I80" i="1"/>
  <c r="H80" i="1"/>
  <c r="F80" i="1"/>
  <c r="E80" i="1"/>
  <c r="L79" i="1"/>
  <c r="K79" i="1"/>
  <c r="I79" i="1"/>
  <c r="H79" i="1"/>
  <c r="F79" i="1"/>
  <c r="E79" i="1"/>
  <c r="L78" i="1"/>
  <c r="K78" i="1"/>
  <c r="I78" i="1"/>
  <c r="H78" i="1"/>
  <c r="F78" i="1"/>
  <c r="E78" i="1"/>
  <c r="L77" i="1"/>
  <c r="K77" i="1"/>
  <c r="I77" i="1"/>
  <c r="H77" i="1"/>
  <c r="F77" i="1"/>
  <c r="E77" i="1"/>
  <c r="L76" i="1"/>
  <c r="K76" i="1"/>
  <c r="I76" i="1"/>
  <c r="H76" i="1"/>
  <c r="F76" i="1"/>
  <c r="E76" i="1"/>
  <c r="L75" i="1"/>
  <c r="K75" i="1"/>
  <c r="I75" i="1"/>
  <c r="H75" i="1"/>
  <c r="F75" i="1"/>
  <c r="E75" i="1"/>
  <c r="L74" i="1"/>
  <c r="K74" i="1"/>
  <c r="I74" i="1"/>
  <c r="H74" i="1"/>
  <c r="F74" i="1"/>
  <c r="E74" i="1"/>
  <c r="L73" i="1"/>
  <c r="K73" i="1"/>
  <c r="I73" i="1"/>
  <c r="H73" i="1"/>
  <c r="F73" i="1"/>
  <c r="E73" i="1"/>
  <c r="L72" i="1"/>
  <c r="K72" i="1"/>
  <c r="I72" i="1"/>
  <c r="H72" i="1"/>
  <c r="F72" i="1"/>
  <c r="E72" i="1"/>
  <c r="L71" i="1"/>
  <c r="K71" i="1"/>
  <c r="I71" i="1"/>
  <c r="H71" i="1"/>
  <c r="F71" i="1"/>
  <c r="E71" i="1"/>
  <c r="L70" i="1"/>
  <c r="K70" i="1"/>
  <c r="I70" i="1"/>
  <c r="H70" i="1"/>
  <c r="F70" i="1"/>
  <c r="E70" i="1"/>
  <c r="L69" i="1"/>
  <c r="K69" i="1"/>
  <c r="I69" i="1"/>
  <c r="H69" i="1"/>
  <c r="F69" i="1"/>
  <c r="E69" i="1"/>
  <c r="L68" i="1"/>
  <c r="K68" i="1"/>
  <c r="I68" i="1"/>
  <c r="H68" i="1"/>
  <c r="F68" i="1"/>
  <c r="E68" i="1"/>
  <c r="L67" i="1"/>
  <c r="K67" i="1"/>
  <c r="I67" i="1"/>
  <c r="H67" i="1"/>
  <c r="F67" i="1"/>
  <c r="E67" i="1"/>
  <c r="L66" i="1"/>
  <c r="K66" i="1"/>
  <c r="I66" i="1"/>
  <c r="H66" i="1"/>
  <c r="F66" i="1"/>
  <c r="E66" i="1"/>
  <c r="L65" i="1"/>
  <c r="K65" i="1"/>
  <c r="I65" i="1"/>
  <c r="H65" i="1"/>
  <c r="F65" i="1"/>
  <c r="E65" i="1"/>
  <c r="L64" i="1"/>
  <c r="K64" i="1"/>
  <c r="I64" i="1"/>
  <c r="H64" i="1"/>
  <c r="F64" i="1"/>
  <c r="E64" i="1"/>
  <c r="L63" i="1"/>
  <c r="K63" i="1"/>
  <c r="I63" i="1"/>
  <c r="H63" i="1"/>
  <c r="F63" i="1"/>
  <c r="E63" i="1"/>
  <c r="L62" i="1"/>
  <c r="K62" i="1"/>
  <c r="I62" i="1"/>
  <c r="H62" i="1"/>
  <c r="F62" i="1"/>
  <c r="E62" i="1"/>
  <c r="L61" i="1"/>
  <c r="K61" i="1"/>
  <c r="I61" i="1"/>
  <c r="H61" i="1"/>
  <c r="F61" i="1"/>
  <c r="E61" i="1"/>
  <c r="L60" i="1"/>
  <c r="K60" i="1"/>
  <c r="I60" i="1"/>
  <c r="H60" i="1"/>
  <c r="F60" i="1"/>
  <c r="E60" i="1"/>
  <c r="L59" i="1"/>
  <c r="K59" i="1"/>
  <c r="I59" i="1"/>
  <c r="H59" i="1"/>
  <c r="F59" i="1"/>
  <c r="E59" i="1"/>
  <c r="L58" i="1"/>
  <c r="K58" i="1"/>
  <c r="I58" i="1"/>
  <c r="H58" i="1"/>
  <c r="F58" i="1"/>
  <c r="E58" i="1"/>
  <c r="L57" i="1"/>
  <c r="K57" i="1"/>
  <c r="I57" i="1"/>
  <c r="H57" i="1"/>
  <c r="F57" i="1"/>
  <c r="E57" i="1"/>
  <c r="L56" i="1"/>
  <c r="K56" i="1"/>
  <c r="I56" i="1"/>
  <c r="H56" i="1"/>
  <c r="F56" i="1"/>
  <c r="E56" i="1"/>
  <c r="L55" i="1"/>
  <c r="K55" i="1"/>
  <c r="I55" i="1"/>
  <c r="H55" i="1"/>
  <c r="F55" i="1"/>
  <c r="E55" i="1"/>
  <c r="L54" i="1"/>
  <c r="K54" i="1"/>
  <c r="I54" i="1"/>
  <c r="H54" i="1"/>
  <c r="F54" i="1"/>
  <c r="E54" i="1"/>
  <c r="L53" i="1"/>
  <c r="K53" i="1"/>
  <c r="I53" i="1"/>
  <c r="H53" i="1"/>
  <c r="F53" i="1"/>
  <c r="E53" i="1"/>
  <c r="L52" i="1"/>
  <c r="K52" i="1"/>
  <c r="I52" i="1"/>
  <c r="H52" i="1"/>
  <c r="F52" i="1"/>
  <c r="E52" i="1"/>
  <c r="L51" i="1"/>
  <c r="K51" i="1"/>
  <c r="I51" i="1"/>
  <c r="H51" i="1"/>
  <c r="F51" i="1"/>
  <c r="E51" i="1"/>
  <c r="L50" i="1"/>
  <c r="K50" i="1"/>
  <c r="I50" i="1"/>
  <c r="H50" i="1"/>
  <c r="F50" i="1"/>
  <c r="E50" i="1"/>
  <c r="L49" i="1"/>
  <c r="K49" i="1"/>
  <c r="I49" i="1"/>
  <c r="H49" i="1"/>
  <c r="F49" i="1"/>
  <c r="E49" i="1"/>
  <c r="L48" i="1"/>
  <c r="K48" i="1"/>
  <c r="I48" i="1"/>
  <c r="H48" i="1"/>
  <c r="F48" i="1"/>
  <c r="E48" i="1"/>
  <c r="L47" i="1"/>
  <c r="K47" i="1"/>
  <c r="I47" i="1"/>
  <c r="H47" i="1"/>
  <c r="F47" i="1"/>
  <c r="E47" i="1"/>
  <c r="L46" i="1"/>
  <c r="K46" i="1"/>
  <c r="I46" i="1"/>
  <c r="H46" i="1"/>
  <c r="F46" i="1"/>
  <c r="E46" i="1"/>
  <c r="L45" i="1"/>
  <c r="K45" i="1"/>
  <c r="I45" i="1"/>
  <c r="H45" i="1"/>
  <c r="F45" i="1"/>
  <c r="E45" i="1"/>
  <c r="L44" i="1"/>
  <c r="K44" i="1"/>
  <c r="I44" i="1"/>
  <c r="H44" i="1"/>
  <c r="F44" i="1"/>
  <c r="E44" i="1"/>
  <c r="L43" i="1"/>
  <c r="K43" i="1"/>
  <c r="I43" i="1"/>
  <c r="H43" i="1"/>
  <c r="F43" i="1"/>
  <c r="E43" i="1"/>
  <c r="L42" i="1"/>
  <c r="K42" i="1"/>
  <c r="I42" i="1"/>
  <c r="H42" i="1"/>
  <c r="F42" i="1"/>
  <c r="E42" i="1"/>
  <c r="L41" i="1"/>
  <c r="K41" i="1"/>
  <c r="I41" i="1"/>
  <c r="H41" i="1"/>
  <c r="F41" i="1"/>
  <c r="E41" i="1"/>
  <c r="L40" i="1"/>
  <c r="K40" i="1"/>
  <c r="I40" i="1"/>
  <c r="H40" i="1"/>
  <c r="F40" i="1"/>
  <c r="E40" i="1"/>
  <c r="L39" i="1"/>
  <c r="K39" i="1"/>
  <c r="I39" i="1"/>
  <c r="H39" i="1"/>
  <c r="F39" i="1"/>
  <c r="E39" i="1"/>
  <c r="L38" i="1"/>
  <c r="K38" i="1"/>
  <c r="I38" i="1"/>
  <c r="H38" i="1"/>
  <c r="F38" i="1"/>
  <c r="E38" i="1"/>
  <c r="L37" i="1"/>
  <c r="K37" i="1"/>
  <c r="I37" i="1"/>
  <c r="H37" i="1"/>
  <c r="F37" i="1"/>
  <c r="E37" i="1"/>
  <c r="L36" i="1"/>
  <c r="K36" i="1"/>
  <c r="I36" i="1"/>
  <c r="H36" i="1"/>
  <c r="F36" i="1"/>
  <c r="E36" i="1"/>
  <c r="L35" i="1"/>
  <c r="K35" i="1"/>
  <c r="I35" i="1"/>
  <c r="H35" i="1"/>
  <c r="F35" i="1"/>
  <c r="E35" i="1"/>
  <c r="L34" i="1"/>
  <c r="K34" i="1"/>
  <c r="I34" i="1"/>
  <c r="H34" i="1"/>
  <c r="F34" i="1"/>
  <c r="E34" i="1"/>
  <c r="L33" i="1"/>
  <c r="K33" i="1"/>
  <c r="I33" i="1"/>
  <c r="H33" i="1"/>
  <c r="F33" i="1"/>
  <c r="E33" i="1"/>
  <c r="L32" i="1"/>
  <c r="K32" i="1"/>
  <c r="I32" i="1"/>
  <c r="H32" i="1"/>
  <c r="F32" i="1"/>
  <c r="E32" i="1"/>
  <c r="L31" i="1"/>
  <c r="K31" i="1"/>
  <c r="I31" i="1"/>
  <c r="H31" i="1"/>
  <c r="F31" i="1"/>
  <c r="E31" i="1"/>
  <c r="L30" i="1"/>
  <c r="K30" i="1"/>
  <c r="I30" i="1"/>
  <c r="H30" i="1"/>
  <c r="F30" i="1"/>
  <c r="E30" i="1"/>
  <c r="L29" i="1"/>
  <c r="K29" i="1"/>
  <c r="I29" i="1"/>
  <c r="H29" i="1"/>
  <c r="F29" i="1"/>
  <c r="E29" i="1"/>
  <c r="L28" i="1"/>
  <c r="K28" i="1"/>
  <c r="I28" i="1"/>
  <c r="H28" i="1"/>
  <c r="F28" i="1"/>
  <c r="E28" i="1"/>
  <c r="L27" i="1"/>
  <c r="K27" i="1"/>
  <c r="I27" i="1"/>
  <c r="H27" i="1"/>
  <c r="F27" i="1"/>
  <c r="E27" i="1"/>
  <c r="L26" i="1"/>
  <c r="K26" i="1"/>
  <c r="I26" i="1"/>
  <c r="H26" i="1"/>
  <c r="F26" i="1"/>
  <c r="E26" i="1"/>
  <c r="L25" i="1"/>
  <c r="K25" i="1"/>
  <c r="I25" i="1"/>
  <c r="H25" i="1"/>
  <c r="F25" i="1"/>
  <c r="E25" i="1"/>
  <c r="L24" i="1"/>
  <c r="K24" i="1"/>
  <c r="I24" i="1"/>
  <c r="H24" i="1"/>
  <c r="F24" i="1"/>
  <c r="E24" i="1"/>
  <c r="L23" i="1"/>
  <c r="K23" i="1"/>
  <c r="I23" i="1"/>
  <c r="H23" i="1"/>
  <c r="F23" i="1"/>
  <c r="E23" i="1"/>
  <c r="L22" i="1"/>
  <c r="K22" i="1"/>
  <c r="I22" i="1"/>
  <c r="H22" i="1"/>
  <c r="F22" i="1"/>
  <c r="E22" i="1"/>
  <c r="L21" i="1"/>
  <c r="K21" i="1"/>
  <c r="I21" i="1"/>
  <c r="H21" i="1"/>
  <c r="F21" i="1"/>
  <c r="E21" i="1"/>
  <c r="L20" i="1"/>
  <c r="K20" i="1"/>
  <c r="I20" i="1"/>
  <c r="H20" i="1"/>
  <c r="F20" i="1"/>
  <c r="E20" i="1"/>
  <c r="L19" i="1"/>
  <c r="K19" i="1"/>
  <c r="I19" i="1"/>
  <c r="H19" i="1"/>
  <c r="F19" i="1"/>
  <c r="E19" i="1"/>
  <c r="L18" i="1"/>
  <c r="K18" i="1"/>
  <c r="I18" i="1"/>
  <c r="H18" i="1"/>
  <c r="F18" i="1"/>
  <c r="E18" i="1"/>
  <c r="L17" i="1"/>
  <c r="K17" i="1"/>
  <c r="I17" i="1"/>
  <c r="H17" i="1"/>
  <c r="F17" i="1"/>
  <c r="E17" i="1"/>
  <c r="L16" i="1"/>
  <c r="K16" i="1"/>
  <c r="I16" i="1"/>
  <c r="H16" i="1"/>
  <c r="F16" i="1"/>
  <c r="E16" i="1"/>
  <c r="L15" i="1"/>
  <c r="K15" i="1"/>
  <c r="I15" i="1"/>
  <c r="H15" i="1"/>
  <c r="F15" i="1"/>
  <c r="E15" i="1"/>
  <c r="L14" i="1"/>
  <c r="K14" i="1"/>
  <c r="I14" i="1"/>
  <c r="H14" i="1"/>
  <c r="F14" i="1"/>
  <c r="E14" i="1"/>
  <c r="L13" i="1"/>
  <c r="K13" i="1"/>
  <c r="I13" i="1"/>
  <c r="H13" i="1"/>
  <c r="F13" i="1"/>
  <c r="E13" i="1"/>
  <c r="L12" i="1"/>
  <c r="K12" i="1"/>
  <c r="I12" i="1"/>
  <c r="H12" i="1"/>
  <c r="F12" i="1"/>
  <c r="E12" i="1"/>
  <c r="L11" i="1"/>
  <c r="K11" i="1"/>
  <c r="I11" i="1"/>
  <c r="H11" i="1"/>
  <c r="F11" i="1"/>
  <c r="E11" i="1"/>
  <c r="L10" i="1"/>
  <c r="K10" i="1"/>
  <c r="I10" i="1"/>
  <c r="H10" i="1"/>
  <c r="F10" i="1"/>
  <c r="E10" i="1"/>
  <c r="L9" i="1"/>
  <c r="K9" i="1"/>
  <c r="I9" i="1"/>
  <c r="H9" i="1"/>
  <c r="F9" i="1"/>
  <c r="E9" i="1"/>
  <c r="L8" i="1"/>
  <c r="K8" i="1"/>
  <c r="I8" i="1"/>
  <c r="H8" i="1"/>
  <c r="F8" i="1"/>
  <c r="E8" i="1"/>
  <c r="L7" i="1"/>
  <c r="K7" i="1"/>
  <c r="I7" i="1"/>
  <c r="H7" i="1"/>
  <c r="F7" i="1"/>
  <c r="E7" i="1"/>
  <c r="L6" i="1"/>
  <c r="K6" i="1"/>
  <c r="I6" i="1"/>
  <c r="H6" i="1"/>
  <c r="F6" i="1"/>
  <c r="E6" i="1"/>
</calcChain>
</file>

<file path=xl/sharedStrings.xml><?xml version="1.0" encoding="utf-8"?>
<sst xmlns="http://schemas.openxmlformats.org/spreadsheetml/2006/main" count="27" uniqueCount="26">
  <si>
    <t>BUSCADOR DE FECHA:</t>
  </si>
  <si>
    <t>USUARIOS QUE PAGARON:</t>
  </si>
  <si>
    <t>ID</t>
  </si>
  <si>
    <t>FECHA INICIO</t>
  </si>
  <si>
    <t>NOMBRE CLIENTE</t>
  </si>
  <si>
    <t>PRESTAMO</t>
  </si>
  <si>
    <t>INTERES (20%)</t>
  </si>
  <si>
    <t>TOTAL A PAGAR</t>
  </si>
  <si>
    <t>N CUOTAS</t>
  </si>
  <si>
    <t>VALOR CUOTA</t>
  </si>
  <si>
    <t>FECHA FINAL (ESTIMADA)</t>
  </si>
  <si>
    <t>TOTAL ABONADO</t>
  </si>
  <si>
    <t>SALDO PENDIENTE</t>
  </si>
  <si>
    <t>ESTADO</t>
  </si>
  <si>
    <t>ULTIMO PAGO (FECHA)</t>
  </si>
  <si>
    <t>NOTA: Los Domingos NO se cuentan para la fecha final ni recaudo.</t>
  </si>
  <si>
    <t>FECHA PAGO</t>
  </si>
  <si>
    <t>MONTO ABONADO</t>
  </si>
  <si>
    <t>COMENTARIO</t>
  </si>
  <si>
    <t>COMO USAR EL BUSCADOR DE FECHAS:</t>
  </si>
  <si>
    <t>1. Para ver quien pago en una fecha especifica, ve a la hoja 'REGISTRO_DIARIO_PAGOS'.</t>
  </si>
  <si>
    <t>2. Haz clic en la flecha del filtro de 'FECHA PAGO'.</t>
  </si>
  <si>
    <t>3. Selecciona el aÃ±o (2026, 2027...) y el dia.</t>
  </si>
  <si>
    <t>EN LA HOJA SISTEMA_COBROS_V2:</t>
  </si>
  <si>
    <t>- La columna N CUOTAS puedes cambiarla (6, 12, 24...).</t>
  </si>
  <si>
    <t>- La Fecha Final se calcula sola saltando los Domingos.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</si>
</sst>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\ #.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B2B2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2" fillId="2" borderId="0" xfId="0" applyFont="1" applyFill="1"/>
    <xf numFmtId="164" fontId="0" fillId="3" borderId="1" xfId="0" applyNumberFormat="1" applyFill="1" applyBorder="1"/>
    <xf numFmtId="0" fontId="2" fillId="4" borderId="2" xfId="0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165" fontId="1" fillId="0" borderId="0" xfId="0" applyNumberFormat="1" applyFont="1"/>
    <xf numFmtId="0" fontId="0" fillId="0" borderId="0" xfId="0" applyAlignment="1">
      <alignment horizontal="center"/>
    </xf>
    <xf numFmtId="165" fontId="0" fillId="5" borderId="0" xfId="0" applyNumberFormat="1" applyFill="1"/>
    <xf numFmtId="0" fontId="0" fillId="0" borderId="2" xfId="0" applyBorder="1"/>
    <xf numFmtId="0" fontId="3" fillId="0" borderId="0" xfId="0" applyFont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01AB1-3C20-4BED-A81D-DEBD57162C52}">
  <dimension ref="A1:A8"/>
  <sheetViews>
    <sheetView tabSelected="1" workbookViewId="0"/>
  </sheetViews>
  <sheetFormatPr baseColWidth="10" defaultRowHeight="15" x14ac:dyDescent="0.25"/>
  <sheetData>
    <row r="1" spans="1:1" x14ac:dyDescent="0.25">
      <c r="A1" t="s">
        <v>19</v>
      </c>
    </row>
    <row r="2" spans="1:1" x14ac:dyDescent="0.25">
      <c r="A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6" spans="1:1" x14ac:dyDescent="0.25">
      <c r="A6" t="s">
        <v>23</v>
      </c>
    </row>
    <row r="7" spans="1:1" x14ac:dyDescent="0.25">
      <c r="A7" t="s">
        <v>24</v>
      </c>
    </row>
    <row r="8" spans="1:1" x14ac:dyDescent="0.25">
      <c r="A8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776E5-ABC7-49B2-B03C-7A7F9F4F039A}">
  <dimension ref="A1:D1"/>
  <sheetViews>
    <sheetView workbookViewId="0"/>
  </sheetViews>
  <sheetFormatPr baseColWidth="10" defaultRowHeight="15" x14ac:dyDescent="0.25"/>
  <cols>
    <col min="1" max="1" width="15.7109375" customWidth="1"/>
    <col min="2" max="2" width="25.7109375" customWidth="1"/>
    <col min="3" max="3" width="15.7109375" customWidth="1"/>
  </cols>
  <sheetData>
    <row r="1" spans="1:4" x14ac:dyDescent="0.25">
      <c r="A1" s="12" t="s">
        <v>16</v>
      </c>
      <c r="B1" s="12" t="s">
        <v>4</v>
      </c>
      <c r="C1" s="12" t="s">
        <v>17</v>
      </c>
      <c r="D1" s="12" t="s">
        <v>18</v>
      </c>
    </row>
  </sheetData>
  <autoFilter ref="A1:D1" xr:uid="{FC9776E5-ABC7-49B2-B03C-7A7F9F4F039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75E80-7B2D-4B1D-BB1C-C12C790030EB}">
  <dimension ref="A1:M106"/>
  <sheetViews>
    <sheetView workbookViewId="0"/>
  </sheetViews>
  <sheetFormatPr baseColWidth="10" defaultRowHeight="15" x14ac:dyDescent="0.25"/>
  <cols>
    <col min="2" max="2" width="15.7109375" customWidth="1"/>
    <col min="3" max="3" width="25.7109375" customWidth="1"/>
    <col min="6" max="6" width="15.7109375" customWidth="1"/>
    <col min="9" max="9" width="15.7109375" customWidth="1"/>
  </cols>
  <sheetData>
    <row r="1" spans="1:13" ht="15.75" thickBot="1" x14ac:dyDescent="0.3">
      <c r="A1" s="1"/>
      <c r="B1" s="2" t="s">
        <v>0</v>
      </c>
      <c r="C1" s="1"/>
      <c r="D1" s="3">
        <v>46057</v>
      </c>
      <c r="E1" s="1"/>
      <c r="F1" s="2" t="s">
        <v>1</v>
      </c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B3" s="11" t="s">
        <v>15</v>
      </c>
    </row>
    <row r="5" spans="1:13" x14ac:dyDescent="0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</row>
    <row r="6" spans="1:13" x14ac:dyDescent="0.25">
      <c r="A6" s="10">
        <v>1</v>
      </c>
      <c r="B6" s="5"/>
      <c r="D6" s="6"/>
      <c r="E6" s="6" t="str">
        <f>IF(D6="","",D6*0.2)</f>
        <v/>
      </c>
      <c r="F6" s="7" t="str">
        <f>IF(D6="","",D6+E6)</f>
        <v/>
      </c>
      <c r="G6" s="8">
        <v>6</v>
      </c>
      <c r="H6" s="9" t="e">
        <f>IF(G6="","",F6/G6)</f>
        <v>#VALUE!</v>
      </c>
      <c r="I6" s="5" t="str">
        <f>IF(B6="","",WORKDAY.INTL(B6,G6,11))</f>
        <v/>
      </c>
      <c r="J6" s="6"/>
      <c r="K6" s="6" t="str">
        <f>IF(F6="","",F6-J6)</f>
        <v/>
      </c>
      <c r="L6" t="str">
        <f>IF(J6="","",IF(K6&lt;=0,"PAGADO","PENDIENTE"))</f>
        <v/>
      </c>
      <c r="M6" s="5"/>
    </row>
    <row r="7" spans="1:13" x14ac:dyDescent="0.25">
      <c r="A7" s="10">
        <v>2</v>
      </c>
      <c r="B7" s="5"/>
      <c r="D7" s="6"/>
      <c r="E7" s="6" t="str">
        <f>IF(D7="","",D7*0.2)</f>
        <v/>
      </c>
      <c r="F7" s="7" t="str">
        <f>IF(D7="","",D7+E7)</f>
        <v/>
      </c>
      <c r="G7" s="8">
        <v>6</v>
      </c>
      <c r="H7" s="9" t="e">
        <f>IF(G7="","",F7/G7)</f>
        <v>#VALUE!</v>
      </c>
      <c r="I7" s="5" t="str">
        <f>IF(B7="","",WORKDAY.INTL(B7,G7,11))</f>
        <v/>
      </c>
      <c r="J7" s="6"/>
      <c r="K7" s="6" t="str">
        <f>IF(F7="","",F7-J7)</f>
        <v/>
      </c>
      <c r="L7" t="str">
        <f>IF(J7="","",IF(K7&lt;=0,"PAGADO","PENDIENTE"))</f>
        <v/>
      </c>
      <c r="M7" s="5"/>
    </row>
    <row r="8" spans="1:13" x14ac:dyDescent="0.25">
      <c r="A8" s="10">
        <v>3</v>
      </c>
      <c r="B8" s="5"/>
      <c r="D8" s="6"/>
      <c r="E8" s="6" t="str">
        <f>IF(D8="","",D8*0.2)</f>
        <v/>
      </c>
      <c r="F8" s="7" t="str">
        <f>IF(D8="","",D8+E8)</f>
        <v/>
      </c>
      <c r="G8" s="8">
        <v>6</v>
      </c>
      <c r="H8" s="9" t="e">
        <f>IF(G8="","",F8/G8)</f>
        <v>#VALUE!</v>
      </c>
      <c r="I8" s="5" t="str">
        <f>IF(B8="","",WORKDAY.INTL(B8,G8,11))</f>
        <v/>
      </c>
      <c r="J8" s="6"/>
      <c r="K8" s="6" t="str">
        <f>IF(F8="","",F8-J8)</f>
        <v/>
      </c>
      <c r="L8" t="str">
        <f>IF(J8="","",IF(K8&lt;=0,"PAGADO","PENDIENTE"))</f>
        <v/>
      </c>
      <c r="M8" s="5"/>
    </row>
    <row r="9" spans="1:13" x14ac:dyDescent="0.25">
      <c r="A9" s="10">
        <v>4</v>
      </c>
      <c r="B9" s="5"/>
      <c r="D9" s="6"/>
      <c r="E9" s="6" t="str">
        <f>IF(D9="","",D9*0.2)</f>
        <v/>
      </c>
      <c r="F9" s="7" t="str">
        <f>IF(D9="","",D9+E9)</f>
        <v/>
      </c>
      <c r="G9" s="8">
        <v>6</v>
      </c>
      <c r="H9" s="9" t="e">
        <f>IF(G9="","",F9/G9)</f>
        <v>#VALUE!</v>
      </c>
      <c r="I9" s="5" t="str">
        <f>IF(B9="","",WORKDAY.INTL(B9,G9,11))</f>
        <v/>
      </c>
      <c r="J9" s="6"/>
      <c r="K9" s="6" t="str">
        <f>IF(F9="","",F9-J9)</f>
        <v/>
      </c>
      <c r="L9" t="str">
        <f>IF(J9="","",IF(K9&lt;=0,"PAGADO","PENDIENTE"))</f>
        <v/>
      </c>
      <c r="M9" s="5"/>
    </row>
    <row r="10" spans="1:13" x14ac:dyDescent="0.25">
      <c r="A10" s="10">
        <v>5</v>
      </c>
      <c r="B10" s="5"/>
      <c r="D10" s="6"/>
      <c r="E10" s="6" t="str">
        <f>IF(D10="","",D10*0.2)</f>
        <v/>
      </c>
      <c r="F10" s="7" t="str">
        <f>IF(D10="","",D10+E10)</f>
        <v/>
      </c>
      <c r="G10" s="8">
        <v>6</v>
      </c>
      <c r="H10" s="9" t="e">
        <f>IF(G10="","",F10/G10)</f>
        <v>#VALUE!</v>
      </c>
      <c r="I10" s="5" t="str">
        <f>IF(B10="","",WORKDAY.INTL(B10,G10,11))</f>
        <v/>
      </c>
      <c r="J10" s="6"/>
      <c r="K10" s="6" t="str">
        <f>IF(F10="","",F10-J10)</f>
        <v/>
      </c>
      <c r="L10" t="str">
        <f>IF(J10="","",IF(K10&lt;=0,"PAGADO","PENDIENTE"))</f>
        <v/>
      </c>
      <c r="M10" s="5"/>
    </row>
    <row r="11" spans="1:13" x14ac:dyDescent="0.25">
      <c r="A11" s="10">
        <v>6</v>
      </c>
      <c r="B11" s="5"/>
      <c r="D11" s="6"/>
      <c r="E11" s="6" t="str">
        <f>IF(D11="","",D11*0.2)</f>
        <v/>
      </c>
      <c r="F11" s="7" t="str">
        <f>IF(D11="","",D11+E11)</f>
        <v/>
      </c>
      <c r="G11" s="8">
        <v>6</v>
      </c>
      <c r="H11" s="9" t="e">
        <f>IF(G11="","",F11/G11)</f>
        <v>#VALUE!</v>
      </c>
      <c r="I11" s="5" t="str">
        <f>IF(B11="","",WORKDAY.INTL(B11,G11,11))</f>
        <v/>
      </c>
      <c r="J11" s="6"/>
      <c r="K11" s="6" t="str">
        <f>IF(F11="","",F11-J11)</f>
        <v/>
      </c>
      <c r="L11" t="str">
        <f>IF(J11="","",IF(K11&lt;=0,"PAGADO","PENDIENTE"))</f>
        <v/>
      </c>
      <c r="M11" s="5"/>
    </row>
    <row r="12" spans="1:13" x14ac:dyDescent="0.25">
      <c r="A12" s="10">
        <v>7</v>
      </c>
      <c r="B12" s="5"/>
      <c r="D12" s="6"/>
      <c r="E12" s="6" t="str">
        <f>IF(D12="","",D12*0.2)</f>
        <v/>
      </c>
      <c r="F12" s="7" t="str">
        <f>IF(D12="","",D12+E12)</f>
        <v/>
      </c>
      <c r="G12" s="8">
        <v>6</v>
      </c>
      <c r="H12" s="9" t="e">
        <f>IF(G12="","",F12/G12)</f>
        <v>#VALUE!</v>
      </c>
      <c r="I12" s="5" t="str">
        <f>IF(B12="","",WORKDAY.INTL(B12,G12,11))</f>
        <v/>
      </c>
      <c r="J12" s="6"/>
      <c r="K12" s="6" t="str">
        <f>IF(F12="","",F12-J12)</f>
        <v/>
      </c>
      <c r="L12" t="str">
        <f>IF(J12="","",IF(K12&lt;=0,"PAGADO","PENDIENTE"))</f>
        <v/>
      </c>
      <c r="M12" s="5"/>
    </row>
    <row r="13" spans="1:13" x14ac:dyDescent="0.25">
      <c r="A13" s="10">
        <v>8</v>
      </c>
      <c r="B13" s="5"/>
      <c r="D13" s="6"/>
      <c r="E13" s="6" t="str">
        <f>IF(D13="","",D13*0.2)</f>
        <v/>
      </c>
      <c r="F13" s="7" t="str">
        <f>IF(D13="","",D13+E13)</f>
        <v/>
      </c>
      <c r="G13" s="8">
        <v>6</v>
      </c>
      <c r="H13" s="9" t="e">
        <f>IF(G13="","",F13/G13)</f>
        <v>#VALUE!</v>
      </c>
      <c r="I13" s="5" t="str">
        <f>IF(B13="","",WORKDAY.INTL(B13,G13,11))</f>
        <v/>
      </c>
      <c r="J13" s="6"/>
      <c r="K13" s="6" t="str">
        <f>IF(F13="","",F13-J13)</f>
        <v/>
      </c>
      <c r="L13" t="str">
        <f>IF(J13="","",IF(K13&lt;=0,"PAGADO","PENDIENTE"))</f>
        <v/>
      </c>
      <c r="M13" s="5"/>
    </row>
    <row r="14" spans="1:13" x14ac:dyDescent="0.25">
      <c r="A14" s="10">
        <v>9</v>
      </c>
      <c r="B14" s="5"/>
      <c r="D14" s="6"/>
      <c r="E14" s="6" t="str">
        <f>IF(D14="","",D14*0.2)</f>
        <v/>
      </c>
      <c r="F14" s="7" t="str">
        <f>IF(D14="","",D14+E14)</f>
        <v/>
      </c>
      <c r="G14" s="8">
        <v>6</v>
      </c>
      <c r="H14" s="9" t="e">
        <f>IF(G14="","",F14/G14)</f>
        <v>#VALUE!</v>
      </c>
      <c r="I14" s="5" t="str">
        <f>IF(B14="","",WORKDAY.INTL(B14,G14,11))</f>
        <v/>
      </c>
      <c r="J14" s="6"/>
      <c r="K14" s="6" t="str">
        <f>IF(F14="","",F14-J14)</f>
        <v/>
      </c>
      <c r="L14" t="str">
        <f>IF(J14="","",IF(K14&lt;=0,"PAGADO","PENDIENTE"))</f>
        <v/>
      </c>
      <c r="M14" s="5"/>
    </row>
    <row r="15" spans="1:13" x14ac:dyDescent="0.25">
      <c r="A15" s="10">
        <v>10</v>
      </c>
      <c r="B15" s="5"/>
      <c r="D15" s="6"/>
      <c r="E15" s="6" t="str">
        <f>IF(D15="","",D15*0.2)</f>
        <v/>
      </c>
      <c r="F15" s="7" t="str">
        <f>IF(D15="","",D15+E15)</f>
        <v/>
      </c>
      <c r="G15" s="8">
        <v>6</v>
      </c>
      <c r="H15" s="9" t="e">
        <f>IF(G15="","",F15/G15)</f>
        <v>#VALUE!</v>
      </c>
      <c r="I15" s="5" t="str">
        <f>IF(B15="","",WORKDAY.INTL(B15,G15,11))</f>
        <v/>
      </c>
      <c r="J15" s="6"/>
      <c r="K15" s="6" t="str">
        <f>IF(F15="","",F15-J15)</f>
        <v/>
      </c>
      <c r="L15" t="str">
        <f>IF(J15="","",IF(K15&lt;=0,"PAGADO","PENDIENTE"))</f>
        <v/>
      </c>
      <c r="M15" s="5"/>
    </row>
    <row r="16" spans="1:13" x14ac:dyDescent="0.25">
      <c r="A16" s="10">
        <v>11</v>
      </c>
      <c r="B16" s="5"/>
      <c r="D16" s="6"/>
      <c r="E16" s="6" t="str">
        <f>IF(D16="","",D16*0.2)</f>
        <v/>
      </c>
      <c r="F16" s="7" t="str">
        <f>IF(D16="","",D16+E16)</f>
        <v/>
      </c>
      <c r="G16" s="8">
        <v>6</v>
      </c>
      <c r="H16" s="9" t="e">
        <f>IF(G16="","",F16/G16)</f>
        <v>#VALUE!</v>
      </c>
      <c r="I16" s="5" t="str">
        <f>IF(B16="","",WORKDAY.INTL(B16,G16,11))</f>
        <v/>
      </c>
      <c r="J16" s="6"/>
      <c r="K16" s="6" t="str">
        <f>IF(F16="","",F16-J16)</f>
        <v/>
      </c>
      <c r="L16" t="str">
        <f>IF(J16="","",IF(K16&lt;=0,"PAGADO","PENDIENTE"))</f>
        <v/>
      </c>
      <c r="M16" s="5"/>
    </row>
    <row r="17" spans="1:13" x14ac:dyDescent="0.25">
      <c r="A17" s="10">
        <v>12</v>
      </c>
      <c r="B17" s="5"/>
      <c r="D17" s="6"/>
      <c r="E17" s="6" t="str">
        <f>IF(D17="","",D17*0.2)</f>
        <v/>
      </c>
      <c r="F17" s="7" t="str">
        <f>IF(D17="","",D17+E17)</f>
        <v/>
      </c>
      <c r="G17" s="8">
        <v>6</v>
      </c>
      <c r="H17" s="9" t="e">
        <f>IF(G17="","",F17/G17)</f>
        <v>#VALUE!</v>
      </c>
      <c r="I17" s="5" t="str">
        <f>IF(B17="","",WORKDAY.INTL(B17,G17,11))</f>
        <v/>
      </c>
      <c r="J17" s="6"/>
      <c r="K17" s="6" t="str">
        <f>IF(F17="","",F17-J17)</f>
        <v/>
      </c>
      <c r="L17" t="str">
        <f>IF(J17="","",IF(K17&lt;=0,"PAGADO","PENDIENTE"))</f>
        <v/>
      </c>
      <c r="M17" s="5"/>
    </row>
    <row r="18" spans="1:13" x14ac:dyDescent="0.25">
      <c r="A18" s="10">
        <v>13</v>
      </c>
      <c r="B18" s="5"/>
      <c r="D18" s="6"/>
      <c r="E18" s="6" t="str">
        <f>IF(D18="","",D18*0.2)</f>
        <v/>
      </c>
      <c r="F18" s="7" t="str">
        <f>IF(D18="","",D18+E18)</f>
        <v/>
      </c>
      <c r="G18" s="8">
        <v>6</v>
      </c>
      <c r="H18" s="9" t="e">
        <f>IF(G18="","",F18/G18)</f>
        <v>#VALUE!</v>
      </c>
      <c r="I18" s="5" t="str">
        <f>IF(B18="","",WORKDAY.INTL(B18,G18,11))</f>
        <v/>
      </c>
      <c r="J18" s="6"/>
      <c r="K18" s="6" t="str">
        <f>IF(F18="","",F18-J18)</f>
        <v/>
      </c>
      <c r="L18" t="str">
        <f>IF(J18="","",IF(K18&lt;=0,"PAGADO","PENDIENTE"))</f>
        <v/>
      </c>
      <c r="M18" s="5"/>
    </row>
    <row r="19" spans="1:13" x14ac:dyDescent="0.25">
      <c r="A19" s="10">
        <v>14</v>
      </c>
      <c r="B19" s="5"/>
      <c r="D19" s="6"/>
      <c r="E19" s="6" t="str">
        <f>IF(D19="","",D19*0.2)</f>
        <v/>
      </c>
      <c r="F19" s="7" t="str">
        <f>IF(D19="","",D19+E19)</f>
        <v/>
      </c>
      <c r="G19" s="8">
        <v>6</v>
      </c>
      <c r="H19" s="9" t="e">
        <f>IF(G19="","",F19/G19)</f>
        <v>#VALUE!</v>
      </c>
      <c r="I19" s="5" t="str">
        <f>IF(B19="","",WORKDAY.INTL(B19,G19,11))</f>
        <v/>
      </c>
      <c r="J19" s="6"/>
      <c r="K19" s="6" t="str">
        <f>IF(F19="","",F19-J19)</f>
        <v/>
      </c>
      <c r="L19" t="str">
        <f>IF(J19="","",IF(K19&lt;=0,"PAGADO","PENDIENTE"))</f>
        <v/>
      </c>
      <c r="M19" s="5"/>
    </row>
    <row r="20" spans="1:13" x14ac:dyDescent="0.25">
      <c r="A20" s="10">
        <v>15</v>
      </c>
      <c r="B20" s="5"/>
      <c r="D20" s="6"/>
      <c r="E20" s="6" t="str">
        <f>IF(D20="","",D20*0.2)</f>
        <v/>
      </c>
      <c r="F20" s="7" t="str">
        <f>IF(D20="","",D20+E20)</f>
        <v/>
      </c>
      <c r="G20" s="8">
        <v>6</v>
      </c>
      <c r="H20" s="9" t="e">
        <f>IF(G20="","",F20/G20)</f>
        <v>#VALUE!</v>
      </c>
      <c r="I20" s="5" t="str">
        <f>IF(B20="","",WORKDAY.INTL(B20,G20,11))</f>
        <v/>
      </c>
      <c r="J20" s="6"/>
      <c r="K20" s="6" t="str">
        <f>IF(F20="","",F20-J20)</f>
        <v/>
      </c>
      <c r="L20" t="str">
        <f>IF(J20="","",IF(K20&lt;=0,"PAGADO","PENDIENTE"))</f>
        <v/>
      </c>
      <c r="M20" s="5"/>
    </row>
    <row r="21" spans="1:13" x14ac:dyDescent="0.25">
      <c r="A21" s="10">
        <v>16</v>
      </c>
      <c r="B21" s="5"/>
      <c r="D21" s="6"/>
      <c r="E21" s="6" t="str">
        <f>IF(D21="","",D21*0.2)</f>
        <v/>
      </c>
      <c r="F21" s="7" t="str">
        <f>IF(D21="","",D21+E21)</f>
        <v/>
      </c>
      <c r="G21" s="8">
        <v>6</v>
      </c>
      <c r="H21" s="9" t="e">
        <f>IF(G21="","",F21/G21)</f>
        <v>#VALUE!</v>
      </c>
      <c r="I21" s="5" t="str">
        <f>IF(B21="","",WORKDAY.INTL(B21,G21,11))</f>
        <v/>
      </c>
      <c r="J21" s="6"/>
      <c r="K21" s="6" t="str">
        <f>IF(F21="","",F21-J21)</f>
        <v/>
      </c>
      <c r="L21" t="str">
        <f>IF(J21="","",IF(K21&lt;=0,"PAGADO","PENDIENTE"))</f>
        <v/>
      </c>
      <c r="M21" s="5"/>
    </row>
    <row r="22" spans="1:13" x14ac:dyDescent="0.25">
      <c r="A22" s="10">
        <v>17</v>
      </c>
      <c r="B22" s="5"/>
      <c r="D22" s="6"/>
      <c r="E22" s="6" t="str">
        <f>IF(D22="","",D22*0.2)</f>
        <v/>
      </c>
      <c r="F22" s="7" t="str">
        <f>IF(D22="","",D22+E22)</f>
        <v/>
      </c>
      <c r="G22" s="8">
        <v>6</v>
      </c>
      <c r="H22" s="9" t="e">
        <f>IF(G22="","",F22/G22)</f>
        <v>#VALUE!</v>
      </c>
      <c r="I22" s="5" t="str">
        <f>IF(B22="","",WORKDAY.INTL(B22,G22,11))</f>
        <v/>
      </c>
      <c r="J22" s="6"/>
      <c r="K22" s="6" t="str">
        <f>IF(F22="","",F22-J22)</f>
        <v/>
      </c>
      <c r="L22" t="str">
        <f>IF(J22="","",IF(K22&lt;=0,"PAGADO","PENDIENTE"))</f>
        <v/>
      </c>
      <c r="M22" s="5"/>
    </row>
    <row r="23" spans="1:13" x14ac:dyDescent="0.25">
      <c r="A23" s="10">
        <v>18</v>
      </c>
      <c r="B23" s="5"/>
      <c r="D23" s="6"/>
      <c r="E23" s="6" t="str">
        <f>IF(D23="","",D23*0.2)</f>
        <v/>
      </c>
      <c r="F23" s="7" t="str">
        <f>IF(D23="","",D23+E23)</f>
        <v/>
      </c>
      <c r="G23" s="8">
        <v>6</v>
      </c>
      <c r="H23" s="9" t="e">
        <f>IF(G23="","",F23/G23)</f>
        <v>#VALUE!</v>
      </c>
      <c r="I23" s="5" t="str">
        <f>IF(B23="","",WORKDAY.INTL(B23,G23,11))</f>
        <v/>
      </c>
      <c r="J23" s="6"/>
      <c r="K23" s="6" t="str">
        <f>IF(F23="","",F23-J23)</f>
        <v/>
      </c>
      <c r="L23" t="str">
        <f>IF(J23="","",IF(K23&lt;=0,"PAGADO","PENDIENTE"))</f>
        <v/>
      </c>
      <c r="M23" s="5"/>
    </row>
    <row r="24" spans="1:13" x14ac:dyDescent="0.25">
      <c r="A24" s="10">
        <v>19</v>
      </c>
      <c r="B24" s="5"/>
      <c r="D24" s="6"/>
      <c r="E24" s="6" t="str">
        <f>IF(D24="","",D24*0.2)</f>
        <v/>
      </c>
      <c r="F24" s="7" t="str">
        <f>IF(D24="","",D24+E24)</f>
        <v/>
      </c>
      <c r="G24" s="8">
        <v>6</v>
      </c>
      <c r="H24" s="9" t="e">
        <f>IF(G24="","",F24/G24)</f>
        <v>#VALUE!</v>
      </c>
      <c r="I24" s="5" t="str">
        <f>IF(B24="","",WORKDAY.INTL(B24,G24,11))</f>
        <v/>
      </c>
      <c r="J24" s="6"/>
      <c r="K24" s="6" t="str">
        <f>IF(F24="","",F24-J24)</f>
        <v/>
      </c>
      <c r="L24" t="str">
        <f>IF(J24="","",IF(K24&lt;=0,"PAGADO","PENDIENTE"))</f>
        <v/>
      </c>
      <c r="M24" s="5"/>
    </row>
    <row r="25" spans="1:13" x14ac:dyDescent="0.25">
      <c r="A25" s="10">
        <v>20</v>
      </c>
      <c r="B25" s="5"/>
      <c r="D25" s="6"/>
      <c r="E25" s="6" t="str">
        <f>IF(D25="","",D25*0.2)</f>
        <v/>
      </c>
      <c r="F25" s="7" t="str">
        <f>IF(D25="","",D25+E25)</f>
        <v/>
      </c>
      <c r="G25" s="8">
        <v>6</v>
      </c>
      <c r="H25" s="9" t="e">
        <f>IF(G25="","",F25/G25)</f>
        <v>#VALUE!</v>
      </c>
      <c r="I25" s="5" t="str">
        <f>IF(B25="","",WORKDAY.INTL(B25,G25,11))</f>
        <v/>
      </c>
      <c r="J25" s="6"/>
      <c r="K25" s="6" t="str">
        <f>IF(F25="","",F25-J25)</f>
        <v/>
      </c>
      <c r="L25" t="str">
        <f>IF(J25="","",IF(K25&lt;=0,"PAGADO","PENDIENTE"))</f>
        <v/>
      </c>
      <c r="M25" s="5"/>
    </row>
    <row r="26" spans="1:13" x14ac:dyDescent="0.25">
      <c r="A26" s="10">
        <v>21</v>
      </c>
      <c r="B26" s="5"/>
      <c r="D26" s="6"/>
      <c r="E26" s="6" t="str">
        <f>IF(D26="","",D26*0.2)</f>
        <v/>
      </c>
      <c r="F26" s="7" t="str">
        <f>IF(D26="","",D26+E26)</f>
        <v/>
      </c>
      <c r="G26" s="8">
        <v>6</v>
      </c>
      <c r="H26" s="9" t="e">
        <f>IF(G26="","",F26/G26)</f>
        <v>#VALUE!</v>
      </c>
      <c r="I26" s="5" t="str">
        <f>IF(B26="","",WORKDAY.INTL(B26,G26,11))</f>
        <v/>
      </c>
      <c r="J26" s="6"/>
      <c r="K26" s="6" t="str">
        <f>IF(F26="","",F26-J26)</f>
        <v/>
      </c>
      <c r="L26" t="str">
        <f>IF(J26="","",IF(K26&lt;=0,"PAGADO","PENDIENTE"))</f>
        <v/>
      </c>
      <c r="M26" s="5"/>
    </row>
    <row r="27" spans="1:13" x14ac:dyDescent="0.25">
      <c r="A27" s="10">
        <v>22</v>
      </c>
      <c r="B27" s="5"/>
      <c r="D27" s="6"/>
      <c r="E27" s="6" t="str">
        <f>IF(D27="","",D27*0.2)</f>
        <v/>
      </c>
      <c r="F27" s="7" t="str">
        <f>IF(D27="","",D27+E27)</f>
        <v/>
      </c>
      <c r="G27" s="8">
        <v>6</v>
      </c>
      <c r="H27" s="9" t="e">
        <f>IF(G27="","",F27/G27)</f>
        <v>#VALUE!</v>
      </c>
      <c r="I27" s="5" t="str">
        <f>IF(B27="","",WORKDAY.INTL(B27,G27,11))</f>
        <v/>
      </c>
      <c r="J27" s="6"/>
      <c r="K27" s="6" t="str">
        <f>IF(F27="","",F27-J27)</f>
        <v/>
      </c>
      <c r="L27" t="str">
        <f>IF(J27="","",IF(K27&lt;=0,"PAGADO","PENDIENTE"))</f>
        <v/>
      </c>
      <c r="M27" s="5"/>
    </row>
    <row r="28" spans="1:13" x14ac:dyDescent="0.25">
      <c r="A28" s="10">
        <v>23</v>
      </c>
      <c r="B28" s="5"/>
      <c r="D28" s="6"/>
      <c r="E28" s="6" t="str">
        <f>IF(D28="","",D28*0.2)</f>
        <v/>
      </c>
      <c r="F28" s="7" t="str">
        <f>IF(D28="","",D28+E28)</f>
        <v/>
      </c>
      <c r="G28" s="8">
        <v>6</v>
      </c>
      <c r="H28" s="9" t="e">
        <f>IF(G28="","",F28/G28)</f>
        <v>#VALUE!</v>
      </c>
      <c r="I28" s="5" t="str">
        <f>IF(B28="","",WORKDAY.INTL(B28,G28,11))</f>
        <v/>
      </c>
      <c r="J28" s="6"/>
      <c r="K28" s="6" t="str">
        <f>IF(F28="","",F28-J28)</f>
        <v/>
      </c>
      <c r="L28" t="str">
        <f>IF(J28="","",IF(K28&lt;=0,"PAGADO","PENDIENTE"))</f>
        <v/>
      </c>
      <c r="M28" s="5"/>
    </row>
    <row r="29" spans="1:13" x14ac:dyDescent="0.25">
      <c r="A29" s="10">
        <v>24</v>
      </c>
      <c r="B29" s="5"/>
      <c r="D29" s="6"/>
      <c r="E29" s="6" t="str">
        <f>IF(D29="","",D29*0.2)</f>
        <v/>
      </c>
      <c r="F29" s="7" t="str">
        <f>IF(D29="","",D29+E29)</f>
        <v/>
      </c>
      <c r="G29" s="8">
        <v>6</v>
      </c>
      <c r="H29" s="9" t="e">
        <f>IF(G29="","",F29/G29)</f>
        <v>#VALUE!</v>
      </c>
      <c r="I29" s="5" t="str">
        <f>IF(B29="","",WORKDAY.INTL(B29,G29,11))</f>
        <v/>
      </c>
      <c r="J29" s="6"/>
      <c r="K29" s="6" t="str">
        <f>IF(F29="","",F29-J29)</f>
        <v/>
      </c>
      <c r="L29" t="str">
        <f>IF(J29="","",IF(K29&lt;=0,"PAGADO","PENDIENTE"))</f>
        <v/>
      </c>
      <c r="M29" s="5"/>
    </row>
    <row r="30" spans="1:13" x14ac:dyDescent="0.25">
      <c r="A30" s="10">
        <v>25</v>
      </c>
      <c r="B30" s="5"/>
      <c r="D30" s="6"/>
      <c r="E30" s="6" t="str">
        <f>IF(D30="","",D30*0.2)</f>
        <v/>
      </c>
      <c r="F30" s="7" t="str">
        <f>IF(D30="","",D30+E30)</f>
        <v/>
      </c>
      <c r="G30" s="8">
        <v>6</v>
      </c>
      <c r="H30" s="9" t="e">
        <f>IF(G30="","",F30/G30)</f>
        <v>#VALUE!</v>
      </c>
      <c r="I30" s="5" t="str">
        <f>IF(B30="","",WORKDAY.INTL(B30,G30,11))</f>
        <v/>
      </c>
      <c r="J30" s="6"/>
      <c r="K30" s="6" t="str">
        <f>IF(F30="","",F30-J30)</f>
        <v/>
      </c>
      <c r="L30" t="str">
        <f>IF(J30="","",IF(K30&lt;=0,"PAGADO","PENDIENTE"))</f>
        <v/>
      </c>
      <c r="M30" s="5"/>
    </row>
    <row r="31" spans="1:13" x14ac:dyDescent="0.25">
      <c r="A31" s="10">
        <v>26</v>
      </c>
      <c r="B31" s="5"/>
      <c r="D31" s="6"/>
      <c r="E31" s="6" t="str">
        <f>IF(D31="","",D31*0.2)</f>
        <v/>
      </c>
      <c r="F31" s="7" t="str">
        <f>IF(D31="","",D31+E31)</f>
        <v/>
      </c>
      <c r="G31" s="8">
        <v>6</v>
      </c>
      <c r="H31" s="9" t="e">
        <f>IF(G31="","",F31/G31)</f>
        <v>#VALUE!</v>
      </c>
      <c r="I31" s="5" t="str">
        <f>IF(B31="","",WORKDAY.INTL(B31,G31,11))</f>
        <v/>
      </c>
      <c r="J31" s="6"/>
      <c r="K31" s="6" t="str">
        <f>IF(F31="","",F31-J31)</f>
        <v/>
      </c>
      <c r="L31" t="str">
        <f>IF(J31="","",IF(K31&lt;=0,"PAGADO","PENDIENTE"))</f>
        <v/>
      </c>
      <c r="M31" s="5"/>
    </row>
    <row r="32" spans="1:13" x14ac:dyDescent="0.25">
      <c r="A32" s="10">
        <v>27</v>
      </c>
      <c r="B32" s="5"/>
      <c r="D32" s="6"/>
      <c r="E32" s="6" t="str">
        <f>IF(D32="","",D32*0.2)</f>
        <v/>
      </c>
      <c r="F32" s="7" t="str">
        <f>IF(D32="","",D32+E32)</f>
        <v/>
      </c>
      <c r="G32" s="8">
        <v>6</v>
      </c>
      <c r="H32" s="9" t="e">
        <f>IF(G32="","",F32/G32)</f>
        <v>#VALUE!</v>
      </c>
      <c r="I32" s="5" t="str">
        <f>IF(B32="","",WORKDAY.INTL(B32,G32,11))</f>
        <v/>
      </c>
      <c r="J32" s="6"/>
      <c r="K32" s="6" t="str">
        <f>IF(F32="","",F32-J32)</f>
        <v/>
      </c>
      <c r="L32" t="str">
        <f>IF(J32="","",IF(K32&lt;=0,"PAGADO","PENDIENTE"))</f>
        <v/>
      </c>
      <c r="M32" s="5"/>
    </row>
    <row r="33" spans="1:13" x14ac:dyDescent="0.25">
      <c r="A33" s="10">
        <v>28</v>
      </c>
      <c r="B33" s="5"/>
      <c r="D33" s="6"/>
      <c r="E33" s="6" t="str">
        <f>IF(D33="","",D33*0.2)</f>
        <v/>
      </c>
      <c r="F33" s="7" t="str">
        <f>IF(D33="","",D33+E33)</f>
        <v/>
      </c>
      <c r="G33" s="8">
        <v>6</v>
      </c>
      <c r="H33" s="9" t="e">
        <f>IF(G33="","",F33/G33)</f>
        <v>#VALUE!</v>
      </c>
      <c r="I33" s="5" t="str">
        <f>IF(B33="","",WORKDAY.INTL(B33,G33,11))</f>
        <v/>
      </c>
      <c r="J33" s="6"/>
      <c r="K33" s="6" t="str">
        <f>IF(F33="","",F33-J33)</f>
        <v/>
      </c>
      <c r="L33" t="str">
        <f>IF(J33="","",IF(K33&lt;=0,"PAGADO","PENDIENTE"))</f>
        <v/>
      </c>
      <c r="M33" s="5"/>
    </row>
    <row r="34" spans="1:13" x14ac:dyDescent="0.25">
      <c r="A34" s="10">
        <v>29</v>
      </c>
      <c r="B34" s="5"/>
      <c r="D34" s="6"/>
      <c r="E34" s="6" t="str">
        <f>IF(D34="","",D34*0.2)</f>
        <v/>
      </c>
      <c r="F34" s="7" t="str">
        <f>IF(D34="","",D34+E34)</f>
        <v/>
      </c>
      <c r="G34" s="8">
        <v>6</v>
      </c>
      <c r="H34" s="9" t="e">
        <f>IF(G34="","",F34/G34)</f>
        <v>#VALUE!</v>
      </c>
      <c r="I34" s="5" t="str">
        <f>IF(B34="","",WORKDAY.INTL(B34,G34,11))</f>
        <v/>
      </c>
      <c r="J34" s="6"/>
      <c r="K34" s="6" t="str">
        <f>IF(F34="","",F34-J34)</f>
        <v/>
      </c>
      <c r="L34" t="str">
        <f>IF(J34="","",IF(K34&lt;=0,"PAGADO","PENDIENTE"))</f>
        <v/>
      </c>
      <c r="M34" s="5"/>
    </row>
    <row r="35" spans="1:13" x14ac:dyDescent="0.25">
      <c r="A35" s="10">
        <v>30</v>
      </c>
      <c r="B35" s="5"/>
      <c r="D35" s="6"/>
      <c r="E35" s="6" t="str">
        <f>IF(D35="","",D35*0.2)</f>
        <v/>
      </c>
      <c r="F35" s="7" t="str">
        <f>IF(D35="","",D35+E35)</f>
        <v/>
      </c>
      <c r="G35" s="8">
        <v>6</v>
      </c>
      <c r="H35" s="9" t="e">
        <f>IF(G35="","",F35/G35)</f>
        <v>#VALUE!</v>
      </c>
      <c r="I35" s="5" t="str">
        <f>IF(B35="","",WORKDAY.INTL(B35,G35,11))</f>
        <v/>
      </c>
      <c r="J35" s="6"/>
      <c r="K35" s="6" t="str">
        <f>IF(F35="","",F35-J35)</f>
        <v/>
      </c>
      <c r="L35" t="str">
        <f>IF(J35="","",IF(K35&lt;=0,"PAGADO","PENDIENTE"))</f>
        <v/>
      </c>
      <c r="M35" s="5"/>
    </row>
    <row r="36" spans="1:13" x14ac:dyDescent="0.25">
      <c r="A36" s="10">
        <v>31</v>
      </c>
      <c r="B36" s="5"/>
      <c r="D36" s="6"/>
      <c r="E36" s="6" t="str">
        <f>IF(D36="","",D36*0.2)</f>
        <v/>
      </c>
      <c r="F36" s="7" t="str">
        <f>IF(D36="","",D36+E36)</f>
        <v/>
      </c>
      <c r="G36" s="8">
        <v>6</v>
      </c>
      <c r="H36" s="9" t="e">
        <f>IF(G36="","",F36/G36)</f>
        <v>#VALUE!</v>
      </c>
      <c r="I36" s="5" t="str">
        <f>IF(B36="","",WORKDAY.INTL(B36,G36,11))</f>
        <v/>
      </c>
      <c r="J36" s="6"/>
      <c r="K36" s="6" t="str">
        <f>IF(F36="","",F36-J36)</f>
        <v/>
      </c>
      <c r="L36" t="str">
        <f>IF(J36="","",IF(K36&lt;=0,"PAGADO","PENDIENTE"))</f>
        <v/>
      </c>
      <c r="M36" s="5"/>
    </row>
    <row r="37" spans="1:13" x14ac:dyDescent="0.25">
      <c r="A37" s="10">
        <v>32</v>
      </c>
      <c r="B37" s="5"/>
      <c r="D37" s="6"/>
      <c r="E37" s="6" t="str">
        <f>IF(D37="","",D37*0.2)</f>
        <v/>
      </c>
      <c r="F37" s="7" t="str">
        <f>IF(D37="","",D37+E37)</f>
        <v/>
      </c>
      <c r="G37" s="8">
        <v>6</v>
      </c>
      <c r="H37" s="9" t="e">
        <f>IF(G37="","",F37/G37)</f>
        <v>#VALUE!</v>
      </c>
      <c r="I37" s="5" t="str">
        <f>IF(B37="","",WORKDAY.INTL(B37,G37,11))</f>
        <v/>
      </c>
      <c r="J37" s="6"/>
      <c r="K37" s="6" t="str">
        <f>IF(F37="","",F37-J37)</f>
        <v/>
      </c>
      <c r="L37" t="str">
        <f>IF(J37="","",IF(K37&lt;=0,"PAGADO","PENDIENTE"))</f>
        <v/>
      </c>
      <c r="M37" s="5"/>
    </row>
    <row r="38" spans="1:13" x14ac:dyDescent="0.25">
      <c r="A38" s="10">
        <v>33</v>
      </c>
      <c r="B38" s="5"/>
      <c r="D38" s="6"/>
      <c r="E38" s="6" t="str">
        <f>IF(D38="","",D38*0.2)</f>
        <v/>
      </c>
      <c r="F38" s="7" t="str">
        <f>IF(D38="","",D38+E38)</f>
        <v/>
      </c>
      <c r="G38" s="8">
        <v>6</v>
      </c>
      <c r="H38" s="9" t="e">
        <f>IF(G38="","",F38/G38)</f>
        <v>#VALUE!</v>
      </c>
      <c r="I38" s="5" t="str">
        <f>IF(B38="","",WORKDAY.INTL(B38,G38,11))</f>
        <v/>
      </c>
      <c r="J38" s="6"/>
      <c r="K38" s="6" t="str">
        <f>IF(F38="","",F38-J38)</f>
        <v/>
      </c>
      <c r="L38" t="str">
        <f>IF(J38="","",IF(K38&lt;=0,"PAGADO","PENDIENTE"))</f>
        <v/>
      </c>
      <c r="M38" s="5"/>
    </row>
    <row r="39" spans="1:13" x14ac:dyDescent="0.25">
      <c r="A39" s="10">
        <v>34</v>
      </c>
      <c r="B39" s="5"/>
      <c r="D39" s="6"/>
      <c r="E39" s="6" t="str">
        <f>IF(D39="","",D39*0.2)</f>
        <v/>
      </c>
      <c r="F39" s="7" t="str">
        <f>IF(D39="","",D39+E39)</f>
        <v/>
      </c>
      <c r="G39" s="8">
        <v>6</v>
      </c>
      <c r="H39" s="9" t="e">
        <f>IF(G39="","",F39/G39)</f>
        <v>#VALUE!</v>
      </c>
      <c r="I39" s="5" t="str">
        <f>IF(B39="","",WORKDAY.INTL(B39,G39,11))</f>
        <v/>
      </c>
      <c r="J39" s="6"/>
      <c r="K39" s="6" t="str">
        <f>IF(F39="","",F39-J39)</f>
        <v/>
      </c>
      <c r="L39" t="str">
        <f>IF(J39="","",IF(K39&lt;=0,"PAGADO","PENDIENTE"))</f>
        <v/>
      </c>
      <c r="M39" s="5"/>
    </row>
    <row r="40" spans="1:13" x14ac:dyDescent="0.25">
      <c r="A40" s="10">
        <v>35</v>
      </c>
      <c r="B40" s="5"/>
      <c r="D40" s="6"/>
      <c r="E40" s="6" t="str">
        <f>IF(D40="","",D40*0.2)</f>
        <v/>
      </c>
      <c r="F40" s="7" t="str">
        <f>IF(D40="","",D40+E40)</f>
        <v/>
      </c>
      <c r="G40" s="8">
        <v>6</v>
      </c>
      <c r="H40" s="9" t="e">
        <f>IF(G40="","",F40/G40)</f>
        <v>#VALUE!</v>
      </c>
      <c r="I40" s="5" t="str">
        <f>IF(B40="","",WORKDAY.INTL(B40,G40,11))</f>
        <v/>
      </c>
      <c r="J40" s="6"/>
      <c r="K40" s="6" t="str">
        <f>IF(F40="","",F40-J40)</f>
        <v/>
      </c>
      <c r="L40" t="str">
        <f>IF(J40="","",IF(K40&lt;=0,"PAGADO","PENDIENTE"))</f>
        <v/>
      </c>
      <c r="M40" s="5"/>
    </row>
    <row r="41" spans="1:13" x14ac:dyDescent="0.25">
      <c r="A41" s="10">
        <v>36</v>
      </c>
      <c r="B41" s="5"/>
      <c r="D41" s="6"/>
      <c r="E41" s="6" t="str">
        <f>IF(D41="","",D41*0.2)</f>
        <v/>
      </c>
      <c r="F41" s="7" t="str">
        <f>IF(D41="","",D41+E41)</f>
        <v/>
      </c>
      <c r="G41" s="8">
        <v>6</v>
      </c>
      <c r="H41" s="9" t="e">
        <f>IF(G41="","",F41/G41)</f>
        <v>#VALUE!</v>
      </c>
      <c r="I41" s="5" t="str">
        <f>IF(B41="","",WORKDAY.INTL(B41,G41,11))</f>
        <v/>
      </c>
      <c r="J41" s="6"/>
      <c r="K41" s="6" t="str">
        <f>IF(F41="","",F41-J41)</f>
        <v/>
      </c>
      <c r="L41" t="str">
        <f>IF(J41="","",IF(K41&lt;=0,"PAGADO","PENDIENTE"))</f>
        <v/>
      </c>
      <c r="M41" s="5"/>
    </row>
    <row r="42" spans="1:13" x14ac:dyDescent="0.25">
      <c r="A42" s="10">
        <v>37</v>
      </c>
      <c r="B42" s="5"/>
      <c r="D42" s="6"/>
      <c r="E42" s="6" t="str">
        <f>IF(D42="","",D42*0.2)</f>
        <v/>
      </c>
      <c r="F42" s="7" t="str">
        <f>IF(D42="","",D42+E42)</f>
        <v/>
      </c>
      <c r="G42" s="8">
        <v>6</v>
      </c>
      <c r="H42" s="9" t="e">
        <f>IF(G42="","",F42/G42)</f>
        <v>#VALUE!</v>
      </c>
      <c r="I42" s="5" t="str">
        <f>IF(B42="","",WORKDAY.INTL(B42,G42,11))</f>
        <v/>
      </c>
      <c r="J42" s="6"/>
      <c r="K42" s="6" t="str">
        <f>IF(F42="","",F42-J42)</f>
        <v/>
      </c>
      <c r="L42" t="str">
        <f>IF(J42="","",IF(K42&lt;=0,"PAGADO","PENDIENTE"))</f>
        <v/>
      </c>
      <c r="M42" s="5"/>
    </row>
    <row r="43" spans="1:13" x14ac:dyDescent="0.25">
      <c r="A43" s="10">
        <v>38</v>
      </c>
      <c r="B43" s="5"/>
      <c r="D43" s="6"/>
      <c r="E43" s="6" t="str">
        <f>IF(D43="","",D43*0.2)</f>
        <v/>
      </c>
      <c r="F43" s="7" t="str">
        <f>IF(D43="","",D43+E43)</f>
        <v/>
      </c>
      <c r="G43" s="8">
        <v>6</v>
      </c>
      <c r="H43" s="9" t="e">
        <f>IF(G43="","",F43/G43)</f>
        <v>#VALUE!</v>
      </c>
      <c r="I43" s="5" t="str">
        <f>IF(B43="","",WORKDAY.INTL(B43,G43,11))</f>
        <v/>
      </c>
      <c r="J43" s="6"/>
      <c r="K43" s="6" t="str">
        <f>IF(F43="","",F43-J43)</f>
        <v/>
      </c>
      <c r="L43" t="str">
        <f>IF(J43="","",IF(K43&lt;=0,"PAGADO","PENDIENTE"))</f>
        <v/>
      </c>
      <c r="M43" s="5"/>
    </row>
    <row r="44" spans="1:13" x14ac:dyDescent="0.25">
      <c r="A44" s="10">
        <v>39</v>
      </c>
      <c r="B44" s="5"/>
      <c r="D44" s="6"/>
      <c r="E44" s="6" t="str">
        <f>IF(D44="","",D44*0.2)</f>
        <v/>
      </c>
      <c r="F44" s="7" t="str">
        <f>IF(D44="","",D44+E44)</f>
        <v/>
      </c>
      <c r="G44" s="8">
        <v>6</v>
      </c>
      <c r="H44" s="9" t="e">
        <f>IF(G44="","",F44/G44)</f>
        <v>#VALUE!</v>
      </c>
      <c r="I44" s="5" t="str">
        <f>IF(B44="","",WORKDAY.INTL(B44,G44,11))</f>
        <v/>
      </c>
      <c r="J44" s="6"/>
      <c r="K44" s="6" t="str">
        <f>IF(F44="","",F44-J44)</f>
        <v/>
      </c>
      <c r="L44" t="str">
        <f>IF(J44="","",IF(K44&lt;=0,"PAGADO","PENDIENTE"))</f>
        <v/>
      </c>
      <c r="M44" s="5"/>
    </row>
    <row r="45" spans="1:13" x14ac:dyDescent="0.25">
      <c r="A45" s="10">
        <v>40</v>
      </c>
      <c r="B45" s="5"/>
      <c r="D45" s="6"/>
      <c r="E45" s="6" t="str">
        <f>IF(D45="","",D45*0.2)</f>
        <v/>
      </c>
      <c r="F45" s="7" t="str">
        <f>IF(D45="","",D45+E45)</f>
        <v/>
      </c>
      <c r="G45" s="8">
        <v>6</v>
      </c>
      <c r="H45" s="9" t="e">
        <f>IF(G45="","",F45/G45)</f>
        <v>#VALUE!</v>
      </c>
      <c r="I45" s="5" t="str">
        <f>IF(B45="","",WORKDAY.INTL(B45,G45,11))</f>
        <v/>
      </c>
      <c r="J45" s="6"/>
      <c r="K45" s="6" t="str">
        <f>IF(F45="","",F45-J45)</f>
        <v/>
      </c>
      <c r="L45" t="str">
        <f>IF(J45="","",IF(K45&lt;=0,"PAGADO","PENDIENTE"))</f>
        <v/>
      </c>
      <c r="M45" s="5"/>
    </row>
    <row r="46" spans="1:13" x14ac:dyDescent="0.25">
      <c r="A46" s="10">
        <v>41</v>
      </c>
      <c r="B46" s="5"/>
      <c r="D46" s="6"/>
      <c r="E46" s="6" t="str">
        <f>IF(D46="","",D46*0.2)</f>
        <v/>
      </c>
      <c r="F46" s="7" t="str">
        <f>IF(D46="","",D46+E46)</f>
        <v/>
      </c>
      <c r="G46" s="8">
        <v>6</v>
      </c>
      <c r="H46" s="9" t="e">
        <f>IF(G46="","",F46/G46)</f>
        <v>#VALUE!</v>
      </c>
      <c r="I46" s="5" t="str">
        <f>IF(B46="","",WORKDAY.INTL(B46,G46,11))</f>
        <v/>
      </c>
      <c r="J46" s="6"/>
      <c r="K46" s="6" t="str">
        <f>IF(F46="","",F46-J46)</f>
        <v/>
      </c>
      <c r="L46" t="str">
        <f>IF(J46="","",IF(K46&lt;=0,"PAGADO","PENDIENTE"))</f>
        <v/>
      </c>
      <c r="M46" s="5"/>
    </row>
    <row r="47" spans="1:13" x14ac:dyDescent="0.25">
      <c r="A47" s="10">
        <v>42</v>
      </c>
      <c r="B47" s="5"/>
      <c r="D47" s="6"/>
      <c r="E47" s="6" t="str">
        <f>IF(D47="","",D47*0.2)</f>
        <v/>
      </c>
      <c r="F47" s="7" t="str">
        <f>IF(D47="","",D47+E47)</f>
        <v/>
      </c>
      <c r="G47" s="8">
        <v>6</v>
      </c>
      <c r="H47" s="9" t="e">
        <f>IF(G47="","",F47/G47)</f>
        <v>#VALUE!</v>
      </c>
      <c r="I47" s="5" t="str">
        <f>IF(B47="","",WORKDAY.INTL(B47,G47,11))</f>
        <v/>
      </c>
      <c r="J47" s="6"/>
      <c r="K47" s="6" t="str">
        <f>IF(F47="","",F47-J47)</f>
        <v/>
      </c>
      <c r="L47" t="str">
        <f>IF(J47="","",IF(K47&lt;=0,"PAGADO","PENDIENTE"))</f>
        <v/>
      </c>
      <c r="M47" s="5"/>
    </row>
    <row r="48" spans="1:13" x14ac:dyDescent="0.25">
      <c r="A48" s="10">
        <v>43</v>
      </c>
      <c r="B48" s="5"/>
      <c r="D48" s="6"/>
      <c r="E48" s="6" t="str">
        <f>IF(D48="","",D48*0.2)</f>
        <v/>
      </c>
      <c r="F48" s="7" t="str">
        <f>IF(D48="","",D48+E48)</f>
        <v/>
      </c>
      <c r="G48" s="8">
        <v>6</v>
      </c>
      <c r="H48" s="9" t="e">
        <f>IF(G48="","",F48/G48)</f>
        <v>#VALUE!</v>
      </c>
      <c r="I48" s="5" t="str">
        <f>IF(B48="","",WORKDAY.INTL(B48,G48,11))</f>
        <v/>
      </c>
      <c r="J48" s="6"/>
      <c r="K48" s="6" t="str">
        <f>IF(F48="","",F48-J48)</f>
        <v/>
      </c>
      <c r="L48" t="str">
        <f>IF(J48="","",IF(K48&lt;=0,"PAGADO","PENDIENTE"))</f>
        <v/>
      </c>
      <c r="M48" s="5"/>
    </row>
    <row r="49" spans="1:13" x14ac:dyDescent="0.25">
      <c r="A49" s="10">
        <v>44</v>
      </c>
      <c r="B49" s="5"/>
      <c r="D49" s="6"/>
      <c r="E49" s="6" t="str">
        <f>IF(D49="","",D49*0.2)</f>
        <v/>
      </c>
      <c r="F49" s="7" t="str">
        <f>IF(D49="","",D49+E49)</f>
        <v/>
      </c>
      <c r="G49" s="8">
        <v>6</v>
      </c>
      <c r="H49" s="9" t="e">
        <f>IF(G49="","",F49/G49)</f>
        <v>#VALUE!</v>
      </c>
      <c r="I49" s="5" t="str">
        <f>IF(B49="","",WORKDAY.INTL(B49,G49,11))</f>
        <v/>
      </c>
      <c r="J49" s="6"/>
      <c r="K49" s="6" t="str">
        <f>IF(F49="","",F49-J49)</f>
        <v/>
      </c>
      <c r="L49" t="str">
        <f>IF(J49="","",IF(K49&lt;=0,"PAGADO","PENDIENTE"))</f>
        <v/>
      </c>
      <c r="M49" s="5"/>
    </row>
    <row r="50" spans="1:13" x14ac:dyDescent="0.25">
      <c r="A50" s="10">
        <v>45</v>
      </c>
      <c r="B50" s="5"/>
      <c r="D50" s="6"/>
      <c r="E50" s="6" t="str">
        <f>IF(D50="","",D50*0.2)</f>
        <v/>
      </c>
      <c r="F50" s="7" t="str">
        <f>IF(D50="","",D50+E50)</f>
        <v/>
      </c>
      <c r="G50" s="8">
        <v>6</v>
      </c>
      <c r="H50" s="9" t="e">
        <f>IF(G50="","",F50/G50)</f>
        <v>#VALUE!</v>
      </c>
      <c r="I50" s="5" t="str">
        <f>IF(B50="","",WORKDAY.INTL(B50,G50,11))</f>
        <v/>
      </c>
      <c r="J50" s="6"/>
      <c r="K50" s="6" t="str">
        <f>IF(F50="","",F50-J50)</f>
        <v/>
      </c>
      <c r="L50" t="str">
        <f>IF(J50="","",IF(K50&lt;=0,"PAGADO","PENDIENTE"))</f>
        <v/>
      </c>
      <c r="M50" s="5"/>
    </row>
    <row r="51" spans="1:13" x14ac:dyDescent="0.25">
      <c r="A51" s="10">
        <v>46</v>
      </c>
      <c r="B51" s="5"/>
      <c r="D51" s="6"/>
      <c r="E51" s="6" t="str">
        <f>IF(D51="","",D51*0.2)</f>
        <v/>
      </c>
      <c r="F51" s="7" t="str">
        <f>IF(D51="","",D51+E51)</f>
        <v/>
      </c>
      <c r="G51" s="8">
        <v>6</v>
      </c>
      <c r="H51" s="9" t="e">
        <f>IF(G51="","",F51/G51)</f>
        <v>#VALUE!</v>
      </c>
      <c r="I51" s="5" t="str">
        <f>IF(B51="","",WORKDAY.INTL(B51,G51,11))</f>
        <v/>
      </c>
      <c r="J51" s="6"/>
      <c r="K51" s="6" t="str">
        <f>IF(F51="","",F51-J51)</f>
        <v/>
      </c>
      <c r="L51" t="str">
        <f>IF(J51="","",IF(K51&lt;=0,"PAGADO","PENDIENTE"))</f>
        <v/>
      </c>
      <c r="M51" s="5"/>
    </row>
    <row r="52" spans="1:13" x14ac:dyDescent="0.25">
      <c r="A52" s="10">
        <v>47</v>
      </c>
      <c r="B52" s="5"/>
      <c r="D52" s="6"/>
      <c r="E52" s="6" t="str">
        <f>IF(D52="","",D52*0.2)</f>
        <v/>
      </c>
      <c r="F52" s="7" t="str">
        <f>IF(D52="","",D52+E52)</f>
        <v/>
      </c>
      <c r="G52" s="8">
        <v>6</v>
      </c>
      <c r="H52" s="9" t="e">
        <f>IF(G52="","",F52/G52)</f>
        <v>#VALUE!</v>
      </c>
      <c r="I52" s="5" t="str">
        <f>IF(B52="","",WORKDAY.INTL(B52,G52,11))</f>
        <v/>
      </c>
      <c r="J52" s="6"/>
      <c r="K52" s="6" t="str">
        <f>IF(F52="","",F52-J52)</f>
        <v/>
      </c>
      <c r="L52" t="str">
        <f>IF(J52="","",IF(K52&lt;=0,"PAGADO","PENDIENTE"))</f>
        <v/>
      </c>
      <c r="M52" s="5"/>
    </row>
    <row r="53" spans="1:13" x14ac:dyDescent="0.25">
      <c r="A53" s="10">
        <v>48</v>
      </c>
      <c r="B53" s="5"/>
      <c r="D53" s="6"/>
      <c r="E53" s="6" t="str">
        <f>IF(D53="","",D53*0.2)</f>
        <v/>
      </c>
      <c r="F53" s="7" t="str">
        <f>IF(D53="","",D53+E53)</f>
        <v/>
      </c>
      <c r="G53" s="8">
        <v>6</v>
      </c>
      <c r="H53" s="9" t="e">
        <f>IF(G53="","",F53/G53)</f>
        <v>#VALUE!</v>
      </c>
      <c r="I53" s="5" t="str">
        <f>IF(B53="","",WORKDAY.INTL(B53,G53,11))</f>
        <v/>
      </c>
      <c r="J53" s="6"/>
      <c r="K53" s="6" t="str">
        <f>IF(F53="","",F53-J53)</f>
        <v/>
      </c>
      <c r="L53" t="str">
        <f>IF(J53="","",IF(K53&lt;=0,"PAGADO","PENDIENTE"))</f>
        <v/>
      </c>
      <c r="M53" s="5"/>
    </row>
    <row r="54" spans="1:13" x14ac:dyDescent="0.25">
      <c r="A54" s="10">
        <v>49</v>
      </c>
      <c r="B54" s="5"/>
      <c r="D54" s="6"/>
      <c r="E54" s="6" t="str">
        <f>IF(D54="","",D54*0.2)</f>
        <v/>
      </c>
      <c r="F54" s="7" t="str">
        <f>IF(D54="","",D54+E54)</f>
        <v/>
      </c>
      <c r="G54" s="8">
        <v>6</v>
      </c>
      <c r="H54" s="9" t="e">
        <f>IF(G54="","",F54/G54)</f>
        <v>#VALUE!</v>
      </c>
      <c r="I54" s="5" t="str">
        <f>IF(B54="","",WORKDAY.INTL(B54,G54,11))</f>
        <v/>
      </c>
      <c r="J54" s="6"/>
      <c r="K54" s="6" t="str">
        <f>IF(F54="","",F54-J54)</f>
        <v/>
      </c>
      <c r="L54" t="str">
        <f>IF(J54="","",IF(K54&lt;=0,"PAGADO","PENDIENTE"))</f>
        <v/>
      </c>
      <c r="M54" s="5"/>
    </row>
    <row r="55" spans="1:13" x14ac:dyDescent="0.25">
      <c r="A55" s="10">
        <v>50</v>
      </c>
      <c r="B55" s="5"/>
      <c r="D55" s="6"/>
      <c r="E55" s="6" t="str">
        <f>IF(D55="","",D55*0.2)</f>
        <v/>
      </c>
      <c r="F55" s="7" t="str">
        <f>IF(D55="","",D55+E55)</f>
        <v/>
      </c>
      <c r="G55" s="8">
        <v>6</v>
      </c>
      <c r="H55" s="9" t="e">
        <f>IF(G55="","",F55/G55)</f>
        <v>#VALUE!</v>
      </c>
      <c r="I55" s="5" t="str">
        <f>IF(B55="","",WORKDAY.INTL(B55,G55,11))</f>
        <v/>
      </c>
      <c r="J55" s="6"/>
      <c r="K55" s="6" t="str">
        <f>IF(F55="","",F55-J55)</f>
        <v/>
      </c>
      <c r="L55" t="str">
        <f>IF(J55="","",IF(K55&lt;=0,"PAGADO","PENDIENTE"))</f>
        <v/>
      </c>
      <c r="M55" s="5"/>
    </row>
    <row r="56" spans="1:13" x14ac:dyDescent="0.25">
      <c r="A56" s="10">
        <v>51</v>
      </c>
      <c r="B56" s="5"/>
      <c r="D56" s="6"/>
      <c r="E56" s="6" t="str">
        <f>IF(D56="","",D56*0.2)</f>
        <v/>
      </c>
      <c r="F56" s="7" t="str">
        <f>IF(D56="","",D56+E56)</f>
        <v/>
      </c>
      <c r="G56" s="8">
        <v>6</v>
      </c>
      <c r="H56" s="9" t="e">
        <f>IF(G56="","",F56/G56)</f>
        <v>#VALUE!</v>
      </c>
      <c r="I56" s="5" t="str">
        <f>IF(B56="","",WORKDAY.INTL(B56,G56,11))</f>
        <v/>
      </c>
      <c r="J56" s="6"/>
      <c r="K56" s="6" t="str">
        <f>IF(F56="","",F56-J56)</f>
        <v/>
      </c>
      <c r="L56" t="str">
        <f>IF(J56="","",IF(K56&lt;=0,"PAGADO","PENDIENTE"))</f>
        <v/>
      </c>
      <c r="M56" s="5"/>
    </row>
    <row r="57" spans="1:13" x14ac:dyDescent="0.25">
      <c r="A57" s="10">
        <v>52</v>
      </c>
      <c r="B57" s="5"/>
      <c r="D57" s="6"/>
      <c r="E57" s="6" t="str">
        <f>IF(D57="","",D57*0.2)</f>
        <v/>
      </c>
      <c r="F57" s="7" t="str">
        <f>IF(D57="","",D57+E57)</f>
        <v/>
      </c>
      <c r="G57" s="8">
        <v>6</v>
      </c>
      <c r="H57" s="9" t="e">
        <f>IF(G57="","",F57/G57)</f>
        <v>#VALUE!</v>
      </c>
      <c r="I57" s="5" t="str">
        <f>IF(B57="","",WORKDAY.INTL(B57,G57,11))</f>
        <v/>
      </c>
      <c r="J57" s="6"/>
      <c r="K57" s="6" t="str">
        <f>IF(F57="","",F57-J57)</f>
        <v/>
      </c>
      <c r="L57" t="str">
        <f>IF(J57="","",IF(K57&lt;=0,"PAGADO","PENDIENTE"))</f>
        <v/>
      </c>
      <c r="M57" s="5"/>
    </row>
    <row r="58" spans="1:13" x14ac:dyDescent="0.25">
      <c r="A58" s="10">
        <v>53</v>
      </c>
      <c r="B58" s="5"/>
      <c r="D58" s="6"/>
      <c r="E58" s="6" t="str">
        <f>IF(D58="","",D58*0.2)</f>
        <v/>
      </c>
      <c r="F58" s="7" t="str">
        <f>IF(D58="","",D58+E58)</f>
        <v/>
      </c>
      <c r="G58" s="8">
        <v>6</v>
      </c>
      <c r="H58" s="9" t="e">
        <f>IF(G58="","",F58/G58)</f>
        <v>#VALUE!</v>
      </c>
      <c r="I58" s="5" t="str">
        <f>IF(B58="","",WORKDAY.INTL(B58,G58,11))</f>
        <v/>
      </c>
      <c r="J58" s="6"/>
      <c r="K58" s="6" t="str">
        <f>IF(F58="","",F58-J58)</f>
        <v/>
      </c>
      <c r="L58" t="str">
        <f>IF(J58="","",IF(K58&lt;=0,"PAGADO","PENDIENTE"))</f>
        <v/>
      </c>
      <c r="M58" s="5"/>
    </row>
    <row r="59" spans="1:13" x14ac:dyDescent="0.25">
      <c r="A59" s="10">
        <v>54</v>
      </c>
      <c r="B59" s="5"/>
      <c r="D59" s="6"/>
      <c r="E59" s="6" t="str">
        <f>IF(D59="","",D59*0.2)</f>
        <v/>
      </c>
      <c r="F59" s="7" t="str">
        <f>IF(D59="","",D59+E59)</f>
        <v/>
      </c>
      <c r="G59" s="8">
        <v>6</v>
      </c>
      <c r="H59" s="9" t="e">
        <f>IF(G59="","",F59/G59)</f>
        <v>#VALUE!</v>
      </c>
      <c r="I59" s="5" t="str">
        <f>IF(B59="","",WORKDAY.INTL(B59,G59,11))</f>
        <v/>
      </c>
      <c r="J59" s="6"/>
      <c r="K59" s="6" t="str">
        <f>IF(F59="","",F59-J59)</f>
        <v/>
      </c>
      <c r="L59" t="str">
        <f>IF(J59="","",IF(K59&lt;=0,"PAGADO","PENDIENTE"))</f>
        <v/>
      </c>
      <c r="M59" s="5"/>
    </row>
    <row r="60" spans="1:13" x14ac:dyDescent="0.25">
      <c r="A60" s="10">
        <v>55</v>
      </c>
      <c r="B60" s="5"/>
      <c r="D60" s="6"/>
      <c r="E60" s="6" t="str">
        <f>IF(D60="","",D60*0.2)</f>
        <v/>
      </c>
      <c r="F60" s="7" t="str">
        <f>IF(D60="","",D60+E60)</f>
        <v/>
      </c>
      <c r="G60" s="8">
        <v>6</v>
      </c>
      <c r="H60" s="9" t="e">
        <f>IF(G60="","",F60/G60)</f>
        <v>#VALUE!</v>
      </c>
      <c r="I60" s="5" t="str">
        <f>IF(B60="","",WORKDAY.INTL(B60,G60,11))</f>
        <v/>
      </c>
      <c r="J60" s="6"/>
      <c r="K60" s="6" t="str">
        <f>IF(F60="","",F60-J60)</f>
        <v/>
      </c>
      <c r="L60" t="str">
        <f>IF(J60="","",IF(K60&lt;=0,"PAGADO","PENDIENTE"))</f>
        <v/>
      </c>
      <c r="M60" s="5"/>
    </row>
    <row r="61" spans="1:13" x14ac:dyDescent="0.25">
      <c r="A61" s="10">
        <v>56</v>
      </c>
      <c r="B61" s="5"/>
      <c r="D61" s="6"/>
      <c r="E61" s="6" t="str">
        <f>IF(D61="","",D61*0.2)</f>
        <v/>
      </c>
      <c r="F61" s="7" t="str">
        <f>IF(D61="","",D61+E61)</f>
        <v/>
      </c>
      <c r="G61" s="8">
        <v>6</v>
      </c>
      <c r="H61" s="9" t="e">
        <f>IF(G61="","",F61/G61)</f>
        <v>#VALUE!</v>
      </c>
      <c r="I61" s="5" t="str">
        <f>IF(B61="","",WORKDAY.INTL(B61,G61,11))</f>
        <v/>
      </c>
      <c r="J61" s="6"/>
      <c r="K61" s="6" t="str">
        <f>IF(F61="","",F61-J61)</f>
        <v/>
      </c>
      <c r="L61" t="str">
        <f>IF(J61="","",IF(K61&lt;=0,"PAGADO","PENDIENTE"))</f>
        <v/>
      </c>
      <c r="M61" s="5"/>
    </row>
    <row r="62" spans="1:13" x14ac:dyDescent="0.25">
      <c r="A62" s="10">
        <v>57</v>
      </c>
      <c r="B62" s="5"/>
      <c r="D62" s="6"/>
      <c r="E62" s="6" t="str">
        <f>IF(D62="","",D62*0.2)</f>
        <v/>
      </c>
      <c r="F62" s="7" t="str">
        <f>IF(D62="","",D62+E62)</f>
        <v/>
      </c>
      <c r="G62" s="8">
        <v>6</v>
      </c>
      <c r="H62" s="9" t="e">
        <f>IF(G62="","",F62/G62)</f>
        <v>#VALUE!</v>
      </c>
      <c r="I62" s="5" t="str">
        <f>IF(B62="","",WORKDAY.INTL(B62,G62,11))</f>
        <v/>
      </c>
      <c r="J62" s="6"/>
      <c r="K62" s="6" t="str">
        <f>IF(F62="","",F62-J62)</f>
        <v/>
      </c>
      <c r="L62" t="str">
        <f>IF(J62="","",IF(K62&lt;=0,"PAGADO","PENDIENTE"))</f>
        <v/>
      </c>
      <c r="M62" s="5"/>
    </row>
    <row r="63" spans="1:13" x14ac:dyDescent="0.25">
      <c r="A63" s="10">
        <v>58</v>
      </c>
      <c r="B63" s="5"/>
      <c r="D63" s="6"/>
      <c r="E63" s="6" t="str">
        <f>IF(D63="","",D63*0.2)</f>
        <v/>
      </c>
      <c r="F63" s="7" t="str">
        <f>IF(D63="","",D63+E63)</f>
        <v/>
      </c>
      <c r="G63" s="8">
        <v>6</v>
      </c>
      <c r="H63" s="9" t="e">
        <f>IF(G63="","",F63/G63)</f>
        <v>#VALUE!</v>
      </c>
      <c r="I63" s="5" t="str">
        <f>IF(B63="","",WORKDAY.INTL(B63,G63,11))</f>
        <v/>
      </c>
      <c r="J63" s="6"/>
      <c r="K63" s="6" t="str">
        <f>IF(F63="","",F63-J63)</f>
        <v/>
      </c>
      <c r="L63" t="str">
        <f>IF(J63="","",IF(K63&lt;=0,"PAGADO","PENDIENTE"))</f>
        <v/>
      </c>
      <c r="M63" s="5"/>
    </row>
    <row r="64" spans="1:13" x14ac:dyDescent="0.25">
      <c r="A64" s="10">
        <v>59</v>
      </c>
      <c r="B64" s="5"/>
      <c r="D64" s="6"/>
      <c r="E64" s="6" t="str">
        <f>IF(D64="","",D64*0.2)</f>
        <v/>
      </c>
      <c r="F64" s="7" t="str">
        <f>IF(D64="","",D64+E64)</f>
        <v/>
      </c>
      <c r="G64" s="8">
        <v>6</v>
      </c>
      <c r="H64" s="9" t="e">
        <f>IF(G64="","",F64/G64)</f>
        <v>#VALUE!</v>
      </c>
      <c r="I64" s="5" t="str">
        <f>IF(B64="","",WORKDAY.INTL(B64,G64,11))</f>
        <v/>
      </c>
      <c r="J64" s="6"/>
      <c r="K64" s="6" t="str">
        <f>IF(F64="","",F64-J64)</f>
        <v/>
      </c>
      <c r="L64" t="str">
        <f>IF(J64="","",IF(K64&lt;=0,"PAGADO","PENDIENTE"))</f>
        <v/>
      </c>
      <c r="M64" s="5"/>
    </row>
    <row r="65" spans="1:13" x14ac:dyDescent="0.25">
      <c r="A65" s="10">
        <v>60</v>
      </c>
      <c r="B65" s="5"/>
      <c r="D65" s="6"/>
      <c r="E65" s="6" t="str">
        <f>IF(D65="","",D65*0.2)</f>
        <v/>
      </c>
      <c r="F65" s="7" t="str">
        <f>IF(D65="","",D65+E65)</f>
        <v/>
      </c>
      <c r="G65" s="8">
        <v>6</v>
      </c>
      <c r="H65" s="9" t="e">
        <f>IF(G65="","",F65/G65)</f>
        <v>#VALUE!</v>
      </c>
      <c r="I65" s="5" t="str">
        <f>IF(B65="","",WORKDAY.INTL(B65,G65,11))</f>
        <v/>
      </c>
      <c r="J65" s="6"/>
      <c r="K65" s="6" t="str">
        <f>IF(F65="","",F65-J65)</f>
        <v/>
      </c>
      <c r="L65" t="str">
        <f>IF(J65="","",IF(K65&lt;=0,"PAGADO","PENDIENTE"))</f>
        <v/>
      </c>
      <c r="M65" s="5"/>
    </row>
    <row r="66" spans="1:13" x14ac:dyDescent="0.25">
      <c r="A66" s="10">
        <v>61</v>
      </c>
      <c r="B66" s="5"/>
      <c r="D66" s="6"/>
      <c r="E66" s="6" t="str">
        <f>IF(D66="","",D66*0.2)</f>
        <v/>
      </c>
      <c r="F66" s="7" t="str">
        <f>IF(D66="","",D66+E66)</f>
        <v/>
      </c>
      <c r="G66" s="8">
        <v>6</v>
      </c>
      <c r="H66" s="9" t="e">
        <f>IF(G66="","",F66/G66)</f>
        <v>#VALUE!</v>
      </c>
      <c r="I66" s="5" t="str">
        <f>IF(B66="","",WORKDAY.INTL(B66,G66,11))</f>
        <v/>
      </c>
      <c r="J66" s="6"/>
      <c r="K66" s="6" t="str">
        <f>IF(F66="","",F66-J66)</f>
        <v/>
      </c>
      <c r="L66" t="str">
        <f>IF(J66="","",IF(K66&lt;=0,"PAGADO","PENDIENTE"))</f>
        <v/>
      </c>
      <c r="M66" s="5"/>
    </row>
    <row r="67" spans="1:13" x14ac:dyDescent="0.25">
      <c r="A67" s="10">
        <v>62</v>
      </c>
      <c r="B67" s="5"/>
      <c r="D67" s="6"/>
      <c r="E67" s="6" t="str">
        <f>IF(D67="","",D67*0.2)</f>
        <v/>
      </c>
      <c r="F67" s="7" t="str">
        <f>IF(D67="","",D67+E67)</f>
        <v/>
      </c>
      <c r="G67" s="8">
        <v>6</v>
      </c>
      <c r="H67" s="9" t="e">
        <f>IF(G67="","",F67/G67)</f>
        <v>#VALUE!</v>
      </c>
      <c r="I67" s="5" t="str">
        <f>IF(B67="","",WORKDAY.INTL(B67,G67,11))</f>
        <v/>
      </c>
      <c r="J67" s="6"/>
      <c r="K67" s="6" t="str">
        <f>IF(F67="","",F67-J67)</f>
        <v/>
      </c>
      <c r="L67" t="str">
        <f>IF(J67="","",IF(K67&lt;=0,"PAGADO","PENDIENTE"))</f>
        <v/>
      </c>
      <c r="M67" s="5"/>
    </row>
    <row r="68" spans="1:13" x14ac:dyDescent="0.25">
      <c r="A68" s="10">
        <v>63</v>
      </c>
      <c r="B68" s="5"/>
      <c r="D68" s="6"/>
      <c r="E68" s="6" t="str">
        <f>IF(D68="","",D68*0.2)</f>
        <v/>
      </c>
      <c r="F68" s="7" t="str">
        <f>IF(D68="","",D68+E68)</f>
        <v/>
      </c>
      <c r="G68" s="8">
        <v>6</v>
      </c>
      <c r="H68" s="9" t="e">
        <f>IF(G68="","",F68/G68)</f>
        <v>#VALUE!</v>
      </c>
      <c r="I68" s="5" t="str">
        <f>IF(B68="","",WORKDAY.INTL(B68,G68,11))</f>
        <v/>
      </c>
      <c r="J68" s="6"/>
      <c r="K68" s="6" t="str">
        <f>IF(F68="","",F68-J68)</f>
        <v/>
      </c>
      <c r="L68" t="str">
        <f>IF(J68="","",IF(K68&lt;=0,"PAGADO","PENDIENTE"))</f>
        <v/>
      </c>
      <c r="M68" s="5"/>
    </row>
    <row r="69" spans="1:13" x14ac:dyDescent="0.25">
      <c r="A69" s="10">
        <v>64</v>
      </c>
      <c r="B69" s="5"/>
      <c r="D69" s="6"/>
      <c r="E69" s="6" t="str">
        <f>IF(D69="","",D69*0.2)</f>
        <v/>
      </c>
      <c r="F69" s="7" t="str">
        <f>IF(D69="","",D69+E69)</f>
        <v/>
      </c>
      <c r="G69" s="8">
        <v>6</v>
      </c>
      <c r="H69" s="9" t="e">
        <f>IF(G69="","",F69/G69)</f>
        <v>#VALUE!</v>
      </c>
      <c r="I69" s="5" t="str">
        <f>IF(B69="","",WORKDAY.INTL(B69,G69,11))</f>
        <v/>
      </c>
      <c r="J69" s="6"/>
      <c r="K69" s="6" t="str">
        <f>IF(F69="","",F69-J69)</f>
        <v/>
      </c>
      <c r="L69" t="str">
        <f>IF(J69="","",IF(K69&lt;=0,"PAGADO","PENDIENTE"))</f>
        <v/>
      </c>
      <c r="M69" s="5"/>
    </row>
    <row r="70" spans="1:13" x14ac:dyDescent="0.25">
      <c r="A70" s="10">
        <v>65</v>
      </c>
      <c r="B70" s="5"/>
      <c r="D70" s="6"/>
      <c r="E70" s="6" t="str">
        <f>IF(D70="","",D70*0.2)</f>
        <v/>
      </c>
      <c r="F70" s="7" t="str">
        <f>IF(D70="","",D70+E70)</f>
        <v/>
      </c>
      <c r="G70" s="8">
        <v>6</v>
      </c>
      <c r="H70" s="9" t="e">
        <f>IF(G70="","",F70/G70)</f>
        <v>#VALUE!</v>
      </c>
      <c r="I70" s="5" t="str">
        <f>IF(B70="","",WORKDAY.INTL(B70,G70,11))</f>
        <v/>
      </c>
      <c r="J70" s="6"/>
      <c r="K70" s="6" t="str">
        <f>IF(F70="","",F70-J70)</f>
        <v/>
      </c>
      <c r="L70" t="str">
        <f>IF(J70="","",IF(K70&lt;=0,"PAGADO","PENDIENTE"))</f>
        <v/>
      </c>
      <c r="M70" s="5"/>
    </row>
    <row r="71" spans="1:13" x14ac:dyDescent="0.25">
      <c r="A71" s="10">
        <v>66</v>
      </c>
      <c r="B71" s="5"/>
      <c r="D71" s="6"/>
      <c r="E71" s="6" t="str">
        <f>IF(D71="","",D71*0.2)</f>
        <v/>
      </c>
      <c r="F71" s="7" t="str">
        <f>IF(D71="","",D71+E71)</f>
        <v/>
      </c>
      <c r="G71" s="8">
        <v>6</v>
      </c>
      <c r="H71" s="9" t="e">
        <f>IF(G71="","",F71/G71)</f>
        <v>#VALUE!</v>
      </c>
      <c r="I71" s="5" t="str">
        <f>IF(B71="","",WORKDAY.INTL(B71,G71,11))</f>
        <v/>
      </c>
      <c r="J71" s="6"/>
      <c r="K71" s="6" t="str">
        <f>IF(F71="","",F71-J71)</f>
        <v/>
      </c>
      <c r="L71" t="str">
        <f>IF(J71="","",IF(K71&lt;=0,"PAGADO","PENDIENTE"))</f>
        <v/>
      </c>
      <c r="M71" s="5"/>
    </row>
    <row r="72" spans="1:13" x14ac:dyDescent="0.25">
      <c r="A72" s="10">
        <v>67</v>
      </c>
      <c r="B72" s="5"/>
      <c r="D72" s="6"/>
      <c r="E72" s="6" t="str">
        <f>IF(D72="","",D72*0.2)</f>
        <v/>
      </c>
      <c r="F72" s="7" t="str">
        <f>IF(D72="","",D72+E72)</f>
        <v/>
      </c>
      <c r="G72" s="8">
        <v>6</v>
      </c>
      <c r="H72" s="9" t="e">
        <f>IF(G72="","",F72/G72)</f>
        <v>#VALUE!</v>
      </c>
      <c r="I72" s="5" t="str">
        <f>IF(B72="","",WORKDAY.INTL(B72,G72,11))</f>
        <v/>
      </c>
      <c r="J72" s="6"/>
      <c r="K72" s="6" t="str">
        <f>IF(F72="","",F72-J72)</f>
        <v/>
      </c>
      <c r="L72" t="str">
        <f>IF(J72="","",IF(K72&lt;=0,"PAGADO","PENDIENTE"))</f>
        <v/>
      </c>
      <c r="M72" s="5"/>
    </row>
    <row r="73" spans="1:13" x14ac:dyDescent="0.25">
      <c r="A73" s="10">
        <v>68</v>
      </c>
      <c r="B73" s="5"/>
      <c r="D73" s="6"/>
      <c r="E73" s="6" t="str">
        <f>IF(D73="","",D73*0.2)</f>
        <v/>
      </c>
      <c r="F73" s="7" t="str">
        <f>IF(D73="","",D73+E73)</f>
        <v/>
      </c>
      <c r="G73" s="8">
        <v>6</v>
      </c>
      <c r="H73" s="9" t="e">
        <f>IF(G73="","",F73/G73)</f>
        <v>#VALUE!</v>
      </c>
      <c r="I73" s="5" t="str">
        <f>IF(B73="","",WORKDAY.INTL(B73,G73,11))</f>
        <v/>
      </c>
      <c r="J73" s="6"/>
      <c r="K73" s="6" t="str">
        <f>IF(F73="","",F73-J73)</f>
        <v/>
      </c>
      <c r="L73" t="str">
        <f>IF(J73="","",IF(K73&lt;=0,"PAGADO","PENDIENTE"))</f>
        <v/>
      </c>
      <c r="M73" s="5"/>
    </row>
    <row r="74" spans="1:13" x14ac:dyDescent="0.25">
      <c r="A74" s="10">
        <v>69</v>
      </c>
      <c r="B74" s="5"/>
      <c r="D74" s="6"/>
      <c r="E74" s="6" t="str">
        <f>IF(D74="","",D74*0.2)</f>
        <v/>
      </c>
      <c r="F74" s="7" t="str">
        <f>IF(D74="","",D74+E74)</f>
        <v/>
      </c>
      <c r="G74" s="8">
        <v>6</v>
      </c>
      <c r="H74" s="9" t="e">
        <f>IF(G74="","",F74/G74)</f>
        <v>#VALUE!</v>
      </c>
      <c r="I74" s="5" t="str">
        <f>IF(B74="","",WORKDAY.INTL(B74,G74,11))</f>
        <v/>
      </c>
      <c r="J74" s="6"/>
      <c r="K74" s="6" t="str">
        <f>IF(F74="","",F74-J74)</f>
        <v/>
      </c>
      <c r="L74" t="str">
        <f>IF(J74="","",IF(K74&lt;=0,"PAGADO","PENDIENTE"))</f>
        <v/>
      </c>
      <c r="M74" s="5"/>
    </row>
    <row r="75" spans="1:13" x14ac:dyDescent="0.25">
      <c r="A75" s="10">
        <v>70</v>
      </c>
      <c r="B75" s="5"/>
      <c r="D75" s="6"/>
      <c r="E75" s="6" t="str">
        <f>IF(D75="","",D75*0.2)</f>
        <v/>
      </c>
      <c r="F75" s="7" t="str">
        <f>IF(D75="","",D75+E75)</f>
        <v/>
      </c>
      <c r="G75" s="8">
        <v>6</v>
      </c>
      <c r="H75" s="9" t="e">
        <f>IF(G75="","",F75/G75)</f>
        <v>#VALUE!</v>
      </c>
      <c r="I75" s="5" t="str">
        <f>IF(B75="","",WORKDAY.INTL(B75,G75,11))</f>
        <v/>
      </c>
      <c r="J75" s="6"/>
      <c r="K75" s="6" t="str">
        <f>IF(F75="","",F75-J75)</f>
        <v/>
      </c>
      <c r="L75" t="str">
        <f>IF(J75="","",IF(K75&lt;=0,"PAGADO","PENDIENTE"))</f>
        <v/>
      </c>
      <c r="M75" s="5"/>
    </row>
    <row r="76" spans="1:13" x14ac:dyDescent="0.25">
      <c r="A76" s="10">
        <v>71</v>
      </c>
      <c r="B76" s="5"/>
      <c r="D76" s="6"/>
      <c r="E76" s="6" t="str">
        <f>IF(D76="","",D76*0.2)</f>
        <v/>
      </c>
      <c r="F76" s="7" t="str">
        <f>IF(D76="","",D76+E76)</f>
        <v/>
      </c>
      <c r="G76" s="8">
        <v>6</v>
      </c>
      <c r="H76" s="9" t="e">
        <f>IF(G76="","",F76/G76)</f>
        <v>#VALUE!</v>
      </c>
      <c r="I76" s="5" t="str">
        <f>IF(B76="","",WORKDAY.INTL(B76,G76,11))</f>
        <v/>
      </c>
      <c r="J76" s="6"/>
      <c r="K76" s="6" t="str">
        <f>IF(F76="","",F76-J76)</f>
        <v/>
      </c>
      <c r="L76" t="str">
        <f>IF(J76="","",IF(K76&lt;=0,"PAGADO","PENDIENTE"))</f>
        <v/>
      </c>
      <c r="M76" s="5"/>
    </row>
    <row r="77" spans="1:13" x14ac:dyDescent="0.25">
      <c r="A77" s="10">
        <v>72</v>
      </c>
      <c r="B77" s="5"/>
      <c r="D77" s="6"/>
      <c r="E77" s="6" t="str">
        <f>IF(D77="","",D77*0.2)</f>
        <v/>
      </c>
      <c r="F77" s="7" t="str">
        <f>IF(D77="","",D77+E77)</f>
        <v/>
      </c>
      <c r="G77" s="8">
        <v>6</v>
      </c>
      <c r="H77" s="9" t="e">
        <f>IF(G77="","",F77/G77)</f>
        <v>#VALUE!</v>
      </c>
      <c r="I77" s="5" t="str">
        <f>IF(B77="","",WORKDAY.INTL(B77,G77,11))</f>
        <v/>
      </c>
      <c r="J77" s="6"/>
      <c r="K77" s="6" t="str">
        <f>IF(F77="","",F77-J77)</f>
        <v/>
      </c>
      <c r="L77" t="str">
        <f>IF(J77="","",IF(K77&lt;=0,"PAGADO","PENDIENTE"))</f>
        <v/>
      </c>
      <c r="M77" s="5"/>
    </row>
    <row r="78" spans="1:13" x14ac:dyDescent="0.25">
      <c r="A78" s="10">
        <v>73</v>
      </c>
      <c r="B78" s="5"/>
      <c r="D78" s="6"/>
      <c r="E78" s="6" t="str">
        <f>IF(D78="","",D78*0.2)</f>
        <v/>
      </c>
      <c r="F78" s="7" t="str">
        <f>IF(D78="","",D78+E78)</f>
        <v/>
      </c>
      <c r="G78" s="8">
        <v>6</v>
      </c>
      <c r="H78" s="9" t="e">
        <f>IF(G78="","",F78/G78)</f>
        <v>#VALUE!</v>
      </c>
      <c r="I78" s="5" t="str">
        <f>IF(B78="","",WORKDAY.INTL(B78,G78,11))</f>
        <v/>
      </c>
      <c r="J78" s="6"/>
      <c r="K78" s="6" t="str">
        <f>IF(F78="","",F78-J78)</f>
        <v/>
      </c>
      <c r="L78" t="str">
        <f>IF(J78="","",IF(K78&lt;=0,"PAGADO","PENDIENTE"))</f>
        <v/>
      </c>
      <c r="M78" s="5"/>
    </row>
    <row r="79" spans="1:13" x14ac:dyDescent="0.25">
      <c r="A79" s="10">
        <v>74</v>
      </c>
      <c r="B79" s="5"/>
      <c r="D79" s="6"/>
      <c r="E79" s="6" t="str">
        <f>IF(D79="","",D79*0.2)</f>
        <v/>
      </c>
      <c r="F79" s="7" t="str">
        <f>IF(D79="","",D79+E79)</f>
        <v/>
      </c>
      <c r="G79" s="8">
        <v>6</v>
      </c>
      <c r="H79" s="9" t="e">
        <f>IF(G79="","",F79/G79)</f>
        <v>#VALUE!</v>
      </c>
      <c r="I79" s="5" t="str">
        <f>IF(B79="","",WORKDAY.INTL(B79,G79,11))</f>
        <v/>
      </c>
      <c r="J79" s="6"/>
      <c r="K79" s="6" t="str">
        <f>IF(F79="","",F79-J79)</f>
        <v/>
      </c>
      <c r="L79" t="str">
        <f>IF(J79="","",IF(K79&lt;=0,"PAGADO","PENDIENTE"))</f>
        <v/>
      </c>
      <c r="M79" s="5"/>
    </row>
    <row r="80" spans="1:13" x14ac:dyDescent="0.25">
      <c r="A80" s="10">
        <v>75</v>
      </c>
      <c r="B80" s="5"/>
      <c r="D80" s="6"/>
      <c r="E80" s="6" t="str">
        <f>IF(D80="","",D80*0.2)</f>
        <v/>
      </c>
      <c r="F80" s="7" t="str">
        <f>IF(D80="","",D80+E80)</f>
        <v/>
      </c>
      <c r="G80" s="8">
        <v>6</v>
      </c>
      <c r="H80" s="9" t="e">
        <f>IF(G80="","",F80/G80)</f>
        <v>#VALUE!</v>
      </c>
      <c r="I80" s="5" t="str">
        <f>IF(B80="","",WORKDAY.INTL(B80,G80,11))</f>
        <v/>
      </c>
      <c r="J80" s="6"/>
      <c r="K80" s="6" t="str">
        <f>IF(F80="","",F80-J80)</f>
        <v/>
      </c>
      <c r="L80" t="str">
        <f>IF(J80="","",IF(K80&lt;=0,"PAGADO","PENDIENTE"))</f>
        <v/>
      </c>
      <c r="M80" s="5"/>
    </row>
    <row r="81" spans="1:13" x14ac:dyDescent="0.25">
      <c r="A81" s="10">
        <v>76</v>
      </c>
      <c r="B81" s="5"/>
      <c r="D81" s="6"/>
      <c r="E81" s="6" t="str">
        <f>IF(D81="","",D81*0.2)</f>
        <v/>
      </c>
      <c r="F81" s="7" t="str">
        <f>IF(D81="","",D81+E81)</f>
        <v/>
      </c>
      <c r="G81" s="8">
        <v>6</v>
      </c>
      <c r="H81" s="9" t="e">
        <f>IF(G81="","",F81/G81)</f>
        <v>#VALUE!</v>
      </c>
      <c r="I81" s="5" t="str">
        <f>IF(B81="","",WORKDAY.INTL(B81,G81,11))</f>
        <v/>
      </c>
      <c r="J81" s="6"/>
      <c r="K81" s="6" t="str">
        <f>IF(F81="","",F81-J81)</f>
        <v/>
      </c>
      <c r="L81" t="str">
        <f>IF(J81="","",IF(K81&lt;=0,"PAGADO","PENDIENTE"))</f>
        <v/>
      </c>
      <c r="M81" s="5"/>
    </row>
    <row r="82" spans="1:13" x14ac:dyDescent="0.25">
      <c r="A82" s="10">
        <v>77</v>
      </c>
      <c r="B82" s="5"/>
      <c r="D82" s="6"/>
      <c r="E82" s="6" t="str">
        <f>IF(D82="","",D82*0.2)</f>
        <v/>
      </c>
      <c r="F82" s="7" t="str">
        <f>IF(D82="","",D82+E82)</f>
        <v/>
      </c>
      <c r="G82" s="8">
        <v>6</v>
      </c>
      <c r="H82" s="9" t="e">
        <f>IF(G82="","",F82/G82)</f>
        <v>#VALUE!</v>
      </c>
      <c r="I82" s="5" t="str">
        <f>IF(B82="","",WORKDAY.INTL(B82,G82,11))</f>
        <v/>
      </c>
      <c r="J82" s="6"/>
      <c r="K82" s="6" t="str">
        <f>IF(F82="","",F82-J82)</f>
        <v/>
      </c>
      <c r="L82" t="str">
        <f>IF(J82="","",IF(K82&lt;=0,"PAGADO","PENDIENTE"))</f>
        <v/>
      </c>
      <c r="M82" s="5"/>
    </row>
    <row r="83" spans="1:13" x14ac:dyDescent="0.25">
      <c r="A83" s="10">
        <v>78</v>
      </c>
      <c r="B83" s="5"/>
      <c r="D83" s="6"/>
      <c r="E83" s="6" t="str">
        <f>IF(D83="","",D83*0.2)</f>
        <v/>
      </c>
      <c r="F83" s="7" t="str">
        <f>IF(D83="","",D83+E83)</f>
        <v/>
      </c>
      <c r="G83" s="8">
        <v>6</v>
      </c>
      <c r="H83" s="9" t="e">
        <f>IF(G83="","",F83/G83)</f>
        <v>#VALUE!</v>
      </c>
      <c r="I83" s="5" t="str">
        <f>IF(B83="","",WORKDAY.INTL(B83,G83,11))</f>
        <v/>
      </c>
      <c r="J83" s="6"/>
      <c r="K83" s="6" t="str">
        <f>IF(F83="","",F83-J83)</f>
        <v/>
      </c>
      <c r="L83" t="str">
        <f>IF(J83="","",IF(K83&lt;=0,"PAGADO","PENDIENTE"))</f>
        <v/>
      </c>
      <c r="M83" s="5"/>
    </row>
    <row r="84" spans="1:13" x14ac:dyDescent="0.25">
      <c r="A84" s="10">
        <v>79</v>
      </c>
      <c r="B84" s="5"/>
      <c r="D84" s="6"/>
      <c r="E84" s="6" t="str">
        <f>IF(D84="","",D84*0.2)</f>
        <v/>
      </c>
      <c r="F84" s="7" t="str">
        <f>IF(D84="","",D84+E84)</f>
        <v/>
      </c>
      <c r="G84" s="8">
        <v>6</v>
      </c>
      <c r="H84" s="9" t="e">
        <f>IF(G84="","",F84/G84)</f>
        <v>#VALUE!</v>
      </c>
      <c r="I84" s="5" t="str">
        <f>IF(B84="","",WORKDAY.INTL(B84,G84,11))</f>
        <v/>
      </c>
      <c r="J84" s="6"/>
      <c r="K84" s="6" t="str">
        <f>IF(F84="","",F84-J84)</f>
        <v/>
      </c>
      <c r="L84" t="str">
        <f>IF(J84="","",IF(K84&lt;=0,"PAGADO","PENDIENTE"))</f>
        <v/>
      </c>
      <c r="M84" s="5"/>
    </row>
    <row r="85" spans="1:13" x14ac:dyDescent="0.25">
      <c r="A85" s="10">
        <v>80</v>
      </c>
      <c r="B85" s="5"/>
      <c r="D85" s="6"/>
      <c r="E85" s="6" t="str">
        <f>IF(D85="","",D85*0.2)</f>
        <v/>
      </c>
      <c r="F85" s="7" t="str">
        <f>IF(D85="","",D85+E85)</f>
        <v/>
      </c>
      <c r="G85" s="8">
        <v>6</v>
      </c>
      <c r="H85" s="9" t="e">
        <f>IF(G85="","",F85/G85)</f>
        <v>#VALUE!</v>
      </c>
      <c r="I85" s="5" t="str">
        <f>IF(B85="","",WORKDAY.INTL(B85,G85,11))</f>
        <v/>
      </c>
      <c r="J85" s="6"/>
      <c r="K85" s="6" t="str">
        <f>IF(F85="","",F85-J85)</f>
        <v/>
      </c>
      <c r="L85" t="str">
        <f>IF(J85="","",IF(K85&lt;=0,"PAGADO","PENDIENTE"))</f>
        <v/>
      </c>
      <c r="M85" s="5"/>
    </row>
    <row r="86" spans="1:13" x14ac:dyDescent="0.25">
      <c r="A86" s="10">
        <v>81</v>
      </c>
      <c r="B86" s="5"/>
      <c r="D86" s="6"/>
      <c r="E86" s="6" t="str">
        <f>IF(D86="","",D86*0.2)</f>
        <v/>
      </c>
      <c r="F86" s="7" t="str">
        <f>IF(D86="","",D86+E86)</f>
        <v/>
      </c>
      <c r="G86" s="8">
        <v>6</v>
      </c>
      <c r="H86" s="9" t="e">
        <f>IF(G86="","",F86/G86)</f>
        <v>#VALUE!</v>
      </c>
      <c r="I86" s="5" t="str">
        <f>IF(B86="","",WORKDAY.INTL(B86,G86,11))</f>
        <v/>
      </c>
      <c r="J86" s="6"/>
      <c r="K86" s="6" t="str">
        <f>IF(F86="","",F86-J86)</f>
        <v/>
      </c>
      <c r="L86" t="str">
        <f>IF(J86="","",IF(K86&lt;=0,"PAGADO","PENDIENTE"))</f>
        <v/>
      </c>
      <c r="M86" s="5"/>
    </row>
    <row r="87" spans="1:13" x14ac:dyDescent="0.25">
      <c r="A87" s="10">
        <v>82</v>
      </c>
      <c r="B87" s="5"/>
      <c r="D87" s="6"/>
      <c r="E87" s="6" t="str">
        <f>IF(D87="","",D87*0.2)</f>
        <v/>
      </c>
      <c r="F87" s="7" t="str">
        <f>IF(D87="","",D87+E87)</f>
        <v/>
      </c>
      <c r="G87" s="8">
        <v>6</v>
      </c>
      <c r="H87" s="9" t="e">
        <f>IF(G87="","",F87/G87)</f>
        <v>#VALUE!</v>
      </c>
      <c r="I87" s="5" t="str">
        <f>IF(B87="","",WORKDAY.INTL(B87,G87,11))</f>
        <v/>
      </c>
      <c r="J87" s="6"/>
      <c r="K87" s="6" t="str">
        <f>IF(F87="","",F87-J87)</f>
        <v/>
      </c>
      <c r="L87" t="str">
        <f>IF(J87="","",IF(K87&lt;=0,"PAGADO","PENDIENTE"))</f>
        <v/>
      </c>
      <c r="M87" s="5"/>
    </row>
    <row r="88" spans="1:13" x14ac:dyDescent="0.25">
      <c r="A88" s="10">
        <v>83</v>
      </c>
      <c r="B88" s="5"/>
      <c r="D88" s="6"/>
      <c r="E88" s="6" t="str">
        <f>IF(D88="","",D88*0.2)</f>
        <v/>
      </c>
      <c r="F88" s="7" t="str">
        <f>IF(D88="","",D88+E88)</f>
        <v/>
      </c>
      <c r="G88" s="8">
        <v>6</v>
      </c>
      <c r="H88" s="9" t="e">
        <f>IF(G88="","",F88/G88)</f>
        <v>#VALUE!</v>
      </c>
      <c r="I88" s="5" t="str">
        <f>IF(B88="","",WORKDAY.INTL(B88,G88,11))</f>
        <v/>
      </c>
      <c r="J88" s="6"/>
      <c r="K88" s="6" t="str">
        <f>IF(F88="","",F88-J88)</f>
        <v/>
      </c>
      <c r="L88" t="str">
        <f>IF(J88="","",IF(K88&lt;=0,"PAGADO","PENDIENTE"))</f>
        <v/>
      </c>
      <c r="M88" s="5"/>
    </row>
    <row r="89" spans="1:13" x14ac:dyDescent="0.25">
      <c r="A89" s="10">
        <v>84</v>
      </c>
      <c r="B89" s="5"/>
      <c r="D89" s="6"/>
      <c r="E89" s="6" t="str">
        <f>IF(D89="","",D89*0.2)</f>
        <v/>
      </c>
      <c r="F89" s="7" t="str">
        <f>IF(D89="","",D89+E89)</f>
        <v/>
      </c>
      <c r="G89" s="8">
        <v>6</v>
      </c>
      <c r="H89" s="9" t="e">
        <f>IF(G89="","",F89/G89)</f>
        <v>#VALUE!</v>
      </c>
      <c r="I89" s="5" t="str">
        <f>IF(B89="","",WORKDAY.INTL(B89,G89,11))</f>
        <v/>
      </c>
      <c r="J89" s="6"/>
      <c r="K89" s="6" t="str">
        <f>IF(F89="","",F89-J89)</f>
        <v/>
      </c>
      <c r="L89" t="str">
        <f>IF(J89="","",IF(K89&lt;=0,"PAGADO","PENDIENTE"))</f>
        <v/>
      </c>
      <c r="M89" s="5"/>
    </row>
    <row r="90" spans="1:13" x14ac:dyDescent="0.25">
      <c r="A90" s="10">
        <v>85</v>
      </c>
      <c r="B90" s="5"/>
      <c r="D90" s="6"/>
      <c r="E90" s="6" t="str">
        <f>IF(D90="","",D90*0.2)</f>
        <v/>
      </c>
      <c r="F90" s="7" t="str">
        <f>IF(D90="","",D90+E90)</f>
        <v/>
      </c>
      <c r="G90" s="8">
        <v>6</v>
      </c>
      <c r="H90" s="9" t="e">
        <f>IF(G90="","",F90/G90)</f>
        <v>#VALUE!</v>
      </c>
      <c r="I90" s="5" t="str">
        <f>IF(B90="","",WORKDAY.INTL(B90,G90,11))</f>
        <v/>
      </c>
      <c r="J90" s="6"/>
      <c r="K90" s="6" t="str">
        <f>IF(F90="","",F90-J90)</f>
        <v/>
      </c>
      <c r="L90" t="str">
        <f>IF(J90="","",IF(K90&lt;=0,"PAGADO","PENDIENTE"))</f>
        <v/>
      </c>
      <c r="M90" s="5"/>
    </row>
    <row r="91" spans="1:13" x14ac:dyDescent="0.25">
      <c r="A91" s="10">
        <v>86</v>
      </c>
      <c r="B91" s="5"/>
      <c r="D91" s="6"/>
      <c r="E91" s="6" t="str">
        <f>IF(D91="","",D91*0.2)</f>
        <v/>
      </c>
      <c r="F91" s="7" t="str">
        <f>IF(D91="","",D91+E91)</f>
        <v/>
      </c>
      <c r="G91" s="8">
        <v>6</v>
      </c>
      <c r="H91" s="9" t="e">
        <f>IF(G91="","",F91/G91)</f>
        <v>#VALUE!</v>
      </c>
      <c r="I91" s="5" t="str">
        <f>IF(B91="","",WORKDAY.INTL(B91,G91,11))</f>
        <v/>
      </c>
      <c r="J91" s="6"/>
      <c r="K91" s="6" t="str">
        <f>IF(F91="","",F91-J91)</f>
        <v/>
      </c>
      <c r="L91" t="str">
        <f>IF(J91="","",IF(K91&lt;=0,"PAGADO","PENDIENTE"))</f>
        <v/>
      </c>
      <c r="M91" s="5"/>
    </row>
    <row r="92" spans="1:13" x14ac:dyDescent="0.25">
      <c r="A92" s="10">
        <v>87</v>
      </c>
      <c r="B92" s="5"/>
      <c r="D92" s="6"/>
      <c r="E92" s="6" t="str">
        <f>IF(D92="","",D92*0.2)</f>
        <v/>
      </c>
      <c r="F92" s="7" t="str">
        <f>IF(D92="","",D92+E92)</f>
        <v/>
      </c>
      <c r="G92" s="8">
        <v>6</v>
      </c>
      <c r="H92" s="9" t="e">
        <f>IF(G92="","",F92/G92)</f>
        <v>#VALUE!</v>
      </c>
      <c r="I92" s="5" t="str">
        <f>IF(B92="","",WORKDAY.INTL(B92,G92,11))</f>
        <v/>
      </c>
      <c r="J92" s="6"/>
      <c r="K92" s="6" t="str">
        <f>IF(F92="","",F92-J92)</f>
        <v/>
      </c>
      <c r="L92" t="str">
        <f>IF(J92="","",IF(K92&lt;=0,"PAGADO","PENDIENTE"))</f>
        <v/>
      </c>
      <c r="M92" s="5"/>
    </row>
    <row r="93" spans="1:13" x14ac:dyDescent="0.25">
      <c r="A93" s="10">
        <v>88</v>
      </c>
      <c r="B93" s="5"/>
      <c r="D93" s="6"/>
      <c r="E93" s="6" t="str">
        <f>IF(D93="","",D93*0.2)</f>
        <v/>
      </c>
      <c r="F93" s="7" t="str">
        <f>IF(D93="","",D93+E93)</f>
        <v/>
      </c>
      <c r="G93" s="8">
        <v>6</v>
      </c>
      <c r="H93" s="9" t="e">
        <f>IF(G93="","",F93/G93)</f>
        <v>#VALUE!</v>
      </c>
      <c r="I93" s="5" t="str">
        <f>IF(B93="","",WORKDAY.INTL(B93,G93,11))</f>
        <v/>
      </c>
      <c r="J93" s="6"/>
      <c r="K93" s="6" t="str">
        <f>IF(F93="","",F93-J93)</f>
        <v/>
      </c>
      <c r="L93" t="str">
        <f>IF(J93="","",IF(K93&lt;=0,"PAGADO","PENDIENTE"))</f>
        <v/>
      </c>
      <c r="M93" s="5"/>
    </row>
    <row r="94" spans="1:13" x14ac:dyDescent="0.25">
      <c r="A94" s="10">
        <v>89</v>
      </c>
      <c r="B94" s="5"/>
      <c r="D94" s="6"/>
      <c r="E94" s="6" t="str">
        <f>IF(D94="","",D94*0.2)</f>
        <v/>
      </c>
      <c r="F94" s="7" t="str">
        <f>IF(D94="","",D94+E94)</f>
        <v/>
      </c>
      <c r="G94" s="8">
        <v>6</v>
      </c>
      <c r="H94" s="9" t="e">
        <f>IF(G94="","",F94/G94)</f>
        <v>#VALUE!</v>
      </c>
      <c r="I94" s="5" t="str">
        <f>IF(B94="","",WORKDAY.INTL(B94,G94,11))</f>
        <v/>
      </c>
      <c r="J94" s="6"/>
      <c r="K94" s="6" t="str">
        <f>IF(F94="","",F94-J94)</f>
        <v/>
      </c>
      <c r="L94" t="str">
        <f>IF(J94="","",IF(K94&lt;=0,"PAGADO","PENDIENTE"))</f>
        <v/>
      </c>
      <c r="M94" s="5"/>
    </row>
    <row r="95" spans="1:13" x14ac:dyDescent="0.25">
      <c r="A95" s="10">
        <v>90</v>
      </c>
      <c r="B95" s="5"/>
      <c r="D95" s="6"/>
      <c r="E95" s="6" t="str">
        <f>IF(D95="","",D95*0.2)</f>
        <v/>
      </c>
      <c r="F95" s="7" t="str">
        <f>IF(D95="","",D95+E95)</f>
        <v/>
      </c>
      <c r="G95" s="8">
        <v>6</v>
      </c>
      <c r="H95" s="9" t="e">
        <f>IF(G95="","",F95/G95)</f>
        <v>#VALUE!</v>
      </c>
      <c r="I95" s="5" t="str">
        <f>IF(B95="","",WORKDAY.INTL(B95,G95,11))</f>
        <v/>
      </c>
      <c r="J95" s="6"/>
      <c r="K95" s="6" t="str">
        <f>IF(F95="","",F95-J95)</f>
        <v/>
      </c>
      <c r="L95" t="str">
        <f>IF(J95="","",IF(K95&lt;=0,"PAGADO","PENDIENTE"))</f>
        <v/>
      </c>
      <c r="M95" s="5"/>
    </row>
    <row r="96" spans="1:13" x14ac:dyDescent="0.25">
      <c r="A96" s="10">
        <v>91</v>
      </c>
      <c r="B96" s="5"/>
      <c r="D96" s="6"/>
      <c r="E96" s="6" t="str">
        <f>IF(D96="","",D96*0.2)</f>
        <v/>
      </c>
      <c r="F96" s="7" t="str">
        <f>IF(D96="","",D96+E96)</f>
        <v/>
      </c>
      <c r="G96" s="8">
        <v>6</v>
      </c>
      <c r="H96" s="9" t="e">
        <f>IF(G96="","",F96/G96)</f>
        <v>#VALUE!</v>
      </c>
      <c r="I96" s="5" t="str">
        <f>IF(B96="","",WORKDAY.INTL(B96,G96,11))</f>
        <v/>
      </c>
      <c r="J96" s="6"/>
      <c r="K96" s="6" t="str">
        <f>IF(F96="","",F96-J96)</f>
        <v/>
      </c>
      <c r="L96" t="str">
        <f>IF(J96="","",IF(K96&lt;=0,"PAGADO","PENDIENTE"))</f>
        <v/>
      </c>
      <c r="M96" s="5"/>
    </row>
    <row r="97" spans="1:13" x14ac:dyDescent="0.25">
      <c r="A97" s="10">
        <v>92</v>
      </c>
      <c r="B97" s="5"/>
      <c r="D97" s="6"/>
      <c r="E97" s="6" t="str">
        <f>IF(D97="","",D97*0.2)</f>
        <v/>
      </c>
      <c r="F97" s="7" t="str">
        <f>IF(D97="","",D97+E97)</f>
        <v/>
      </c>
      <c r="G97" s="8">
        <v>6</v>
      </c>
      <c r="H97" s="9" t="e">
        <f>IF(G97="","",F97/G97)</f>
        <v>#VALUE!</v>
      </c>
      <c r="I97" s="5" t="str">
        <f>IF(B97="","",WORKDAY.INTL(B97,G97,11))</f>
        <v/>
      </c>
      <c r="J97" s="6"/>
      <c r="K97" s="6" t="str">
        <f>IF(F97="","",F97-J97)</f>
        <v/>
      </c>
      <c r="L97" t="str">
        <f>IF(J97="","",IF(K97&lt;=0,"PAGADO","PENDIENTE"))</f>
        <v/>
      </c>
      <c r="M97" s="5"/>
    </row>
    <row r="98" spans="1:13" x14ac:dyDescent="0.25">
      <c r="A98" s="10">
        <v>93</v>
      </c>
      <c r="B98" s="5"/>
      <c r="D98" s="6"/>
      <c r="E98" s="6" t="str">
        <f>IF(D98="","",D98*0.2)</f>
        <v/>
      </c>
      <c r="F98" s="7" t="str">
        <f>IF(D98="","",D98+E98)</f>
        <v/>
      </c>
      <c r="G98" s="8">
        <v>6</v>
      </c>
      <c r="H98" s="9" t="e">
        <f>IF(G98="","",F98/G98)</f>
        <v>#VALUE!</v>
      </c>
      <c r="I98" s="5" t="str">
        <f>IF(B98="","",WORKDAY.INTL(B98,G98,11))</f>
        <v/>
      </c>
      <c r="J98" s="6"/>
      <c r="K98" s="6" t="str">
        <f>IF(F98="","",F98-J98)</f>
        <v/>
      </c>
      <c r="L98" t="str">
        <f>IF(J98="","",IF(K98&lt;=0,"PAGADO","PENDIENTE"))</f>
        <v/>
      </c>
      <c r="M98" s="5"/>
    </row>
    <row r="99" spans="1:13" x14ac:dyDescent="0.25">
      <c r="A99" s="10">
        <v>94</v>
      </c>
      <c r="B99" s="5"/>
      <c r="D99" s="6"/>
      <c r="E99" s="6" t="str">
        <f>IF(D99="","",D99*0.2)</f>
        <v/>
      </c>
      <c r="F99" s="7" t="str">
        <f>IF(D99="","",D99+E99)</f>
        <v/>
      </c>
      <c r="G99" s="8">
        <v>6</v>
      </c>
      <c r="H99" s="9" t="e">
        <f>IF(G99="","",F99/G99)</f>
        <v>#VALUE!</v>
      </c>
      <c r="I99" s="5" t="str">
        <f>IF(B99="","",WORKDAY.INTL(B99,G99,11))</f>
        <v/>
      </c>
      <c r="J99" s="6"/>
      <c r="K99" s="6" t="str">
        <f>IF(F99="","",F99-J99)</f>
        <v/>
      </c>
      <c r="L99" t="str">
        <f>IF(J99="","",IF(K99&lt;=0,"PAGADO","PENDIENTE"))</f>
        <v/>
      </c>
      <c r="M99" s="5"/>
    </row>
    <row r="100" spans="1:13" x14ac:dyDescent="0.25">
      <c r="A100" s="10">
        <v>95</v>
      </c>
      <c r="B100" s="5"/>
      <c r="D100" s="6"/>
      <c r="E100" s="6" t="str">
        <f>IF(D100="","",D100*0.2)</f>
        <v/>
      </c>
      <c r="F100" s="7" t="str">
        <f>IF(D100="","",D100+E100)</f>
        <v/>
      </c>
      <c r="G100" s="8">
        <v>6</v>
      </c>
      <c r="H100" s="9" t="e">
        <f>IF(G100="","",F100/G100)</f>
        <v>#VALUE!</v>
      </c>
      <c r="I100" s="5" t="str">
        <f>IF(B100="","",WORKDAY.INTL(B100,G100,11))</f>
        <v/>
      </c>
      <c r="J100" s="6"/>
      <c r="K100" s="6" t="str">
        <f>IF(F100="","",F100-J100)</f>
        <v/>
      </c>
      <c r="L100" t="str">
        <f>IF(J100="","",IF(K100&lt;=0,"PAGADO","PENDIENTE"))</f>
        <v/>
      </c>
      <c r="M100" s="5"/>
    </row>
    <row r="101" spans="1:13" x14ac:dyDescent="0.25">
      <c r="A101" s="10">
        <v>96</v>
      </c>
      <c r="B101" s="5"/>
      <c r="D101" s="6"/>
      <c r="E101" s="6" t="str">
        <f>IF(D101="","",D101*0.2)</f>
        <v/>
      </c>
      <c r="F101" s="7" t="str">
        <f>IF(D101="","",D101+E101)</f>
        <v/>
      </c>
      <c r="G101" s="8">
        <v>6</v>
      </c>
      <c r="H101" s="9" t="e">
        <f>IF(G101="","",F101/G101)</f>
        <v>#VALUE!</v>
      </c>
      <c r="I101" s="5" t="str">
        <f>IF(B101="","",WORKDAY.INTL(B101,G101,11))</f>
        <v/>
      </c>
      <c r="J101" s="6"/>
      <c r="K101" s="6" t="str">
        <f>IF(F101="","",F101-J101)</f>
        <v/>
      </c>
      <c r="L101" t="str">
        <f>IF(J101="","",IF(K101&lt;=0,"PAGADO","PENDIENTE"))</f>
        <v/>
      </c>
      <c r="M101" s="5"/>
    </row>
    <row r="102" spans="1:13" x14ac:dyDescent="0.25">
      <c r="A102" s="10">
        <v>97</v>
      </c>
      <c r="B102" s="5"/>
      <c r="D102" s="6"/>
      <c r="E102" s="6" t="str">
        <f>IF(D102="","",D102*0.2)</f>
        <v/>
      </c>
      <c r="F102" s="7" t="str">
        <f>IF(D102="","",D102+E102)</f>
        <v/>
      </c>
      <c r="G102" s="8">
        <v>6</v>
      </c>
      <c r="H102" s="9" t="e">
        <f>IF(G102="","",F102/G102)</f>
        <v>#VALUE!</v>
      </c>
      <c r="I102" s="5" t="str">
        <f>IF(B102="","",WORKDAY.INTL(B102,G102,11))</f>
        <v/>
      </c>
      <c r="J102" s="6"/>
      <c r="K102" s="6" t="str">
        <f>IF(F102="","",F102-J102)</f>
        <v/>
      </c>
      <c r="L102" t="str">
        <f>IF(J102="","",IF(K102&lt;=0,"PAGADO","PENDIENTE"))</f>
        <v/>
      </c>
      <c r="M102" s="5"/>
    </row>
    <row r="103" spans="1:13" x14ac:dyDescent="0.25">
      <c r="A103" s="10">
        <v>98</v>
      </c>
      <c r="B103" s="5"/>
      <c r="D103" s="6"/>
      <c r="E103" s="6" t="str">
        <f>IF(D103="","",D103*0.2)</f>
        <v/>
      </c>
      <c r="F103" s="7" t="str">
        <f>IF(D103="","",D103+E103)</f>
        <v/>
      </c>
      <c r="G103" s="8">
        <v>6</v>
      </c>
      <c r="H103" s="9" t="e">
        <f>IF(G103="","",F103/G103)</f>
        <v>#VALUE!</v>
      </c>
      <c r="I103" s="5" t="str">
        <f>IF(B103="","",WORKDAY.INTL(B103,G103,11))</f>
        <v/>
      </c>
      <c r="J103" s="6"/>
      <c r="K103" s="6" t="str">
        <f>IF(F103="","",F103-J103)</f>
        <v/>
      </c>
      <c r="L103" t="str">
        <f>IF(J103="","",IF(K103&lt;=0,"PAGADO","PENDIENTE"))</f>
        <v/>
      </c>
      <c r="M103" s="5"/>
    </row>
    <row r="104" spans="1:13" x14ac:dyDescent="0.25">
      <c r="A104" s="10">
        <v>99</v>
      </c>
      <c r="B104" s="5"/>
      <c r="D104" s="6"/>
      <c r="E104" s="6" t="str">
        <f>IF(D104="","",D104*0.2)</f>
        <v/>
      </c>
      <c r="F104" s="7" t="str">
        <f>IF(D104="","",D104+E104)</f>
        <v/>
      </c>
      <c r="G104" s="8">
        <v>6</v>
      </c>
      <c r="H104" s="9" t="e">
        <f>IF(G104="","",F104/G104)</f>
        <v>#VALUE!</v>
      </c>
      <c r="I104" s="5" t="str">
        <f>IF(B104="","",WORKDAY.INTL(B104,G104,11))</f>
        <v/>
      </c>
      <c r="J104" s="6"/>
      <c r="K104" s="6" t="str">
        <f>IF(F104="","",F104-J104)</f>
        <v/>
      </c>
      <c r="L104" t="str">
        <f>IF(J104="","",IF(K104&lt;=0,"PAGADO","PENDIENTE"))</f>
        <v/>
      </c>
      <c r="M104" s="5"/>
    </row>
    <row r="105" spans="1:13" x14ac:dyDescent="0.25">
      <c r="A105" s="10">
        <v>100</v>
      </c>
      <c r="B105" s="5"/>
      <c r="D105" s="6"/>
      <c r="E105" s="6" t="str">
        <f>IF(D105="","",D105*0.2)</f>
        <v/>
      </c>
      <c r="F105" s="7" t="str">
        <f>IF(D105="","",D105+E105)</f>
        <v/>
      </c>
      <c r="G105" s="8">
        <v>6</v>
      </c>
      <c r="H105" s="9" t="e">
        <f>IF(G105="","",F105/G105)</f>
        <v>#VALUE!</v>
      </c>
      <c r="I105" s="5" t="str">
        <f>IF(B105="","",WORKDAY.INTL(B105,G105,11))</f>
        <v/>
      </c>
      <c r="J105" s="6"/>
      <c r="K105" s="6" t="str">
        <f>IF(F105="","",F105-J105)</f>
        <v/>
      </c>
      <c r="L105" t="str">
        <f>IF(J105="","",IF(K105&lt;=0,"PAGADO","PENDIENTE"))</f>
        <v/>
      </c>
      <c r="M105" s="5"/>
    </row>
    <row r="106" spans="1:13" x14ac:dyDescent="0.25">
      <c r="A106" s="10">
        <v>101</v>
      </c>
      <c r="B106" s="5"/>
      <c r="D106" s="6"/>
      <c r="E106" s="6" t="str">
        <f>IF(D106="","",D106*0.2)</f>
        <v/>
      </c>
      <c r="F106" s="7" t="str">
        <f>IF(D106="","",D106+E106)</f>
        <v/>
      </c>
      <c r="G106" s="8">
        <v>6</v>
      </c>
      <c r="H106" s="9" t="e">
        <f>IF(G106="","",F106/G106)</f>
        <v>#VALUE!</v>
      </c>
      <c r="I106" s="5" t="str">
        <f>IF(B106="","",WORKDAY.INTL(B106,G106,11))</f>
        <v/>
      </c>
      <c r="J106" s="6"/>
      <c r="K106" s="6" t="str">
        <f>IF(F106="","",F106-J106)</f>
        <v/>
      </c>
      <c r="L106" t="str">
        <f>IF(J106="","",IF(K106&lt;=0,"PAGADO","PENDIENTE"))</f>
        <v/>
      </c>
      <c r="M106" s="5"/>
    </row>
  </sheetData>
  <autoFilter ref="A5:M5" xr:uid="{1F675E80-7B2D-4B1D-BB1C-C12C790030EB}"/>
  <dataValidations count="1">
    <dataValidation type="date" allowBlank="1" showInputMessage="1" showErrorMessage="1" promptTitle="Seleccionar Fecha" prompt="Escribe la fecha a consultar (YYYY-MM-DD)" sqref="D1" xr:uid="{08963A02-252B-4D3E-9658-550D3BB1CD2D}">
      <formula1>46023</formula1>
      <formula2>47848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REGISTRO_DIARIO_PAGOS</vt:lpstr>
      <vt:lpstr>SISTEMA_COBROS_V2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CRISTIAN</cp:lastModifiedBy>
  <dcterms:created xsi:type="dcterms:W3CDTF">2026-02-04T17:31:21Z</dcterms:created>
  <dcterms:modified xsi:type="dcterms:W3CDTF">2026-02-04T17:31:29Z</dcterms:modified>
</cp:coreProperties>
</file>