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verAI\Sistema_Prestamos\"/>
    </mc:Choice>
  </mc:AlternateContent>
  <xr:revisionPtr revIDLastSave="0" documentId="8_{72592585-EC5D-4175-B527-1F828488B892}" xr6:coauthVersionLast="47" xr6:coauthVersionMax="47" xr10:uidLastSave="{00000000-0000-0000-0000-000000000000}"/>
  <bookViews>
    <workbookView xWindow="3465" yWindow="3465" windowWidth="21600" windowHeight="11385" xr2:uid="{003A6696-7F33-460E-9BFD-FB878D9D1D44}"/>
  </bookViews>
  <sheets>
    <sheet name="CONTROL_COBR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I3" i="1"/>
  <c r="H3" i="1"/>
  <c r="G3" i="1"/>
  <c r="F3" i="1"/>
  <c r="E3" i="1"/>
  <c r="M55" i="1"/>
  <c r="L55" i="1"/>
  <c r="K55" i="1"/>
  <c r="D55" i="1"/>
  <c r="C55" i="1"/>
  <c r="M54" i="1"/>
  <c r="L54" i="1"/>
  <c r="K54" i="1"/>
  <c r="D54" i="1"/>
  <c r="C54" i="1"/>
  <c r="M53" i="1"/>
  <c r="L53" i="1"/>
  <c r="K53" i="1"/>
  <c r="D53" i="1"/>
  <c r="C53" i="1"/>
  <c r="M52" i="1"/>
  <c r="L52" i="1"/>
  <c r="K52" i="1"/>
  <c r="D52" i="1"/>
  <c r="C52" i="1"/>
  <c r="M51" i="1"/>
  <c r="L51" i="1"/>
  <c r="K51" i="1"/>
  <c r="D51" i="1"/>
  <c r="C51" i="1"/>
  <c r="M50" i="1"/>
  <c r="L50" i="1"/>
  <c r="K50" i="1"/>
  <c r="D50" i="1"/>
  <c r="C50" i="1"/>
  <c r="M49" i="1"/>
  <c r="L49" i="1"/>
  <c r="K49" i="1"/>
  <c r="D49" i="1"/>
  <c r="C49" i="1"/>
  <c r="M48" i="1"/>
  <c r="L48" i="1"/>
  <c r="K48" i="1"/>
  <c r="D48" i="1"/>
  <c r="C48" i="1"/>
  <c r="M47" i="1"/>
  <c r="L47" i="1"/>
  <c r="K47" i="1"/>
  <c r="D47" i="1"/>
  <c r="C47" i="1"/>
  <c r="M46" i="1"/>
  <c r="L46" i="1"/>
  <c r="K46" i="1"/>
  <c r="D46" i="1"/>
  <c r="C46" i="1"/>
  <c r="M45" i="1"/>
  <c r="L45" i="1"/>
  <c r="K45" i="1"/>
  <c r="D45" i="1"/>
  <c r="C45" i="1"/>
  <c r="M44" i="1"/>
  <c r="L44" i="1"/>
  <c r="K44" i="1"/>
  <c r="D44" i="1"/>
  <c r="C44" i="1"/>
  <c r="M43" i="1"/>
  <c r="L43" i="1"/>
  <c r="K43" i="1"/>
  <c r="D43" i="1"/>
  <c r="C43" i="1"/>
  <c r="M42" i="1"/>
  <c r="L42" i="1"/>
  <c r="K42" i="1"/>
  <c r="D42" i="1"/>
  <c r="C42" i="1"/>
  <c r="M41" i="1"/>
  <c r="L41" i="1"/>
  <c r="K41" i="1"/>
  <c r="D41" i="1"/>
  <c r="C41" i="1"/>
  <c r="M40" i="1"/>
  <c r="L40" i="1"/>
  <c r="K40" i="1"/>
  <c r="D40" i="1"/>
  <c r="C40" i="1"/>
  <c r="M39" i="1"/>
  <c r="L39" i="1"/>
  <c r="K39" i="1"/>
  <c r="D39" i="1"/>
  <c r="C39" i="1"/>
  <c r="M38" i="1"/>
  <c r="L38" i="1"/>
  <c r="K38" i="1"/>
  <c r="D38" i="1"/>
  <c r="C38" i="1"/>
  <c r="M37" i="1"/>
  <c r="L37" i="1"/>
  <c r="K37" i="1"/>
  <c r="D37" i="1"/>
  <c r="C37" i="1"/>
  <c r="M36" i="1"/>
  <c r="L36" i="1"/>
  <c r="K36" i="1"/>
  <c r="D36" i="1"/>
  <c r="C36" i="1"/>
  <c r="M35" i="1"/>
  <c r="L35" i="1"/>
  <c r="K35" i="1"/>
  <c r="D35" i="1"/>
  <c r="C35" i="1"/>
  <c r="M34" i="1"/>
  <c r="L34" i="1"/>
  <c r="K34" i="1"/>
  <c r="D34" i="1"/>
  <c r="C34" i="1"/>
  <c r="M33" i="1"/>
  <c r="L33" i="1"/>
  <c r="K33" i="1"/>
  <c r="D33" i="1"/>
  <c r="C33" i="1"/>
  <c r="M32" i="1"/>
  <c r="L32" i="1"/>
  <c r="K32" i="1"/>
  <c r="D32" i="1"/>
  <c r="C32" i="1"/>
  <c r="M31" i="1"/>
  <c r="L31" i="1"/>
  <c r="K31" i="1"/>
  <c r="D31" i="1"/>
  <c r="C31" i="1"/>
  <c r="M30" i="1"/>
  <c r="L30" i="1"/>
  <c r="K30" i="1"/>
  <c r="D30" i="1"/>
  <c r="C30" i="1"/>
  <c r="M29" i="1"/>
  <c r="L29" i="1"/>
  <c r="K29" i="1"/>
  <c r="D29" i="1"/>
  <c r="C29" i="1"/>
  <c r="M28" i="1"/>
  <c r="L28" i="1"/>
  <c r="K28" i="1"/>
  <c r="D28" i="1"/>
  <c r="C28" i="1"/>
  <c r="M27" i="1"/>
  <c r="L27" i="1"/>
  <c r="K27" i="1"/>
  <c r="D27" i="1"/>
  <c r="C27" i="1"/>
  <c r="M26" i="1"/>
  <c r="L26" i="1"/>
  <c r="K26" i="1"/>
  <c r="D26" i="1"/>
  <c r="C26" i="1"/>
  <c r="M25" i="1"/>
  <c r="L25" i="1"/>
  <c r="K25" i="1"/>
  <c r="D25" i="1"/>
  <c r="C25" i="1"/>
  <c r="M24" i="1"/>
  <c r="L24" i="1"/>
  <c r="K24" i="1"/>
  <c r="D24" i="1"/>
  <c r="C24" i="1"/>
  <c r="M23" i="1"/>
  <c r="L23" i="1"/>
  <c r="K23" i="1"/>
  <c r="D23" i="1"/>
  <c r="C23" i="1"/>
  <c r="M22" i="1"/>
  <c r="L22" i="1"/>
  <c r="K22" i="1"/>
  <c r="D22" i="1"/>
  <c r="C22" i="1"/>
  <c r="M21" i="1"/>
  <c r="L21" i="1"/>
  <c r="K21" i="1"/>
  <c r="D21" i="1"/>
  <c r="C21" i="1"/>
  <c r="M20" i="1"/>
  <c r="L20" i="1"/>
  <c r="K20" i="1"/>
  <c r="D20" i="1"/>
  <c r="C20" i="1"/>
  <c r="M19" i="1"/>
  <c r="L19" i="1"/>
  <c r="K19" i="1"/>
  <c r="D19" i="1"/>
  <c r="C19" i="1"/>
  <c r="M18" i="1"/>
  <c r="L18" i="1"/>
  <c r="K18" i="1"/>
  <c r="D18" i="1"/>
  <c r="C18" i="1"/>
  <c r="M17" i="1"/>
  <c r="L17" i="1"/>
  <c r="K17" i="1"/>
  <c r="D17" i="1"/>
  <c r="C17" i="1"/>
  <c r="M16" i="1"/>
  <c r="L16" i="1"/>
  <c r="K16" i="1"/>
  <c r="D16" i="1"/>
  <c r="C16" i="1"/>
  <c r="M15" i="1"/>
  <c r="L15" i="1"/>
  <c r="K15" i="1"/>
  <c r="D15" i="1"/>
  <c r="C15" i="1"/>
  <c r="M14" i="1"/>
  <c r="L14" i="1"/>
  <c r="K14" i="1"/>
  <c r="D14" i="1"/>
  <c r="C14" i="1"/>
  <c r="M13" i="1"/>
  <c r="L13" i="1"/>
  <c r="K13" i="1"/>
  <c r="D13" i="1"/>
  <c r="C13" i="1"/>
  <c r="M12" i="1"/>
  <c r="L12" i="1"/>
  <c r="K12" i="1"/>
  <c r="D12" i="1"/>
  <c r="C12" i="1"/>
  <c r="M11" i="1"/>
  <c r="L11" i="1"/>
  <c r="K11" i="1"/>
  <c r="D11" i="1"/>
  <c r="C11" i="1"/>
  <c r="M10" i="1"/>
  <c r="L10" i="1"/>
  <c r="K10" i="1"/>
  <c r="D10" i="1"/>
  <c r="C10" i="1"/>
  <c r="M9" i="1"/>
  <c r="L9" i="1"/>
  <c r="K9" i="1"/>
  <c r="D9" i="1"/>
  <c r="C9" i="1"/>
  <c r="M8" i="1"/>
  <c r="L8" i="1"/>
  <c r="K8" i="1"/>
  <c r="D8" i="1"/>
  <c r="C8" i="1"/>
  <c r="M7" i="1"/>
  <c r="L7" i="1"/>
  <c r="K7" i="1"/>
  <c r="D7" i="1"/>
  <c r="C7" i="1"/>
  <c r="M6" i="1"/>
  <c r="L6" i="1"/>
  <c r="K6" i="1"/>
  <c r="D6" i="1"/>
  <c r="C6" i="1"/>
  <c r="M5" i="1"/>
  <c r="L5" i="1"/>
  <c r="K5" i="1"/>
  <c r="D5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B1" authorId="0" shapeId="0" xr:uid="{C4EB9AAC-FFC7-424E-9502-0C0821C6ADB8}">
      <text>
        <r>
          <rPr>
            <b/>
            <sz val="9"/>
            <color indexed="81"/>
            <rFont val="Tahoma"/>
            <family val="2"/>
          </rPr>
          <t>Ingresa aqui la fecha del Lunes de esta semana para actualizar las fechas de las columnas.</t>
        </r>
      </text>
    </comment>
  </commentList>
</comments>
</file>

<file path=xl/sharedStrings.xml><?xml version="1.0" encoding="utf-8"?>
<sst xmlns="http://schemas.openxmlformats.org/spreadsheetml/2006/main" count="14" uniqueCount="14">
  <si>
    <t>FECHA INICIO DE SEMANA (LUNES):</t>
  </si>
  <si>
    <t>NOMBRE CLIENTE</t>
  </si>
  <si>
    <t>PRESTAMO INICIAL</t>
  </si>
  <si>
    <t>TOTAL A PAGAR (+20%)</t>
  </si>
  <si>
    <t>CUOTA DIARIA (/6)</t>
  </si>
  <si>
    <t>LUNES</t>
  </si>
  <si>
    <t>MARTES</t>
  </si>
  <si>
    <t>MIERCOLES</t>
  </si>
  <si>
    <t>JUEVES</t>
  </si>
  <si>
    <t>VIERNES</t>
  </si>
  <si>
    <t>SABADO</t>
  </si>
  <si>
    <t>TOTAL PAGADO</t>
  </si>
  <si>
    <t>SALDO PENDIENTE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</si>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</sst>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\ #.##0"/>
    <numFmt numFmtId="166" formatCode="dd/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165" fontId="0" fillId="0" borderId="0" xfId="0" applyNumberFormat="1"/>
    <xf numFmtId="165" fontId="0" fillId="4" borderId="0" xfId="0" applyNumberFormat="1" applyFill="1"/>
    <xf numFmtId="165" fontId="1" fillId="5" borderId="0" xfId="0" applyNumberFormat="1" applyFont="1" applyFill="1"/>
    <xf numFmtId="0" fontId="0" fillId="0" borderId="1" xfId="0" applyBorder="1"/>
    <xf numFmtId="16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1148-1DBF-46D9-BD25-B81AE7F6E4C3}">
  <dimension ref="A1:M55"/>
  <sheetViews>
    <sheetView tabSelected="1" workbookViewId="0"/>
  </sheetViews>
  <sheetFormatPr baseColWidth="10" defaultRowHeight="15" x14ac:dyDescent="0.25"/>
  <cols>
    <col min="1" max="1" width="25.7109375" customWidth="1"/>
    <col min="2" max="2" width="15.7109375" customWidth="1"/>
    <col min="3" max="3" width="18.7109375" customWidth="1"/>
    <col min="4" max="4" width="15.7109375" customWidth="1"/>
    <col min="5" max="10" width="12.7109375" customWidth="1"/>
    <col min="11" max="12" width="15.7109375" customWidth="1"/>
    <col min="13" max="13" width="12.7109375" customWidth="1"/>
  </cols>
  <sheetData>
    <row r="1" spans="1:13" x14ac:dyDescent="0.25">
      <c r="A1" s="1" t="s">
        <v>0</v>
      </c>
      <c r="B1" s="2">
        <v>46057</v>
      </c>
    </row>
    <row r="3" spans="1:13" x14ac:dyDescent="0.25">
      <c r="E3" s="8">
        <f>B1</f>
        <v>46057</v>
      </c>
      <c r="F3" s="8">
        <f>B1+1</f>
        <v>46058</v>
      </c>
      <c r="G3" s="8">
        <f>B1+2</f>
        <v>46059</v>
      </c>
      <c r="H3" s="8">
        <f>B1+3</f>
        <v>46060</v>
      </c>
      <c r="I3" s="8">
        <f>B1+4</f>
        <v>46061</v>
      </c>
      <c r="J3" s="8">
        <f>B1+5</f>
        <v>46062</v>
      </c>
    </row>
    <row r="4" spans="1:13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25">
      <c r="A5" s="7"/>
      <c r="B5" s="4"/>
      <c r="C5" s="5" t="str">
        <f>IF(B5="","",B5*1.2)</f>
        <v/>
      </c>
      <c r="D5" s="6" t="str">
        <f>IF(C5="","",C5/6)</f>
        <v/>
      </c>
      <c r="E5" s="4"/>
      <c r="F5" s="4"/>
      <c r="G5" s="4"/>
      <c r="H5" s="4"/>
      <c r="I5" s="4"/>
      <c r="J5" s="4"/>
      <c r="K5" s="4">
        <f>SUM(E5)</f>
        <v>0</v>
      </c>
      <c r="L5" s="4" t="str">
        <f>IF(C5="","",C5-K5)</f>
        <v/>
      </c>
      <c r="M5" t="str">
        <f>IF(B5="","",IF(L5&lt;=0,"PAGADO","PENDIENTE"))</f>
        <v/>
      </c>
    </row>
    <row r="6" spans="1:13" x14ac:dyDescent="0.25">
      <c r="A6" s="7"/>
      <c r="B6" s="4"/>
      <c r="C6" s="5" t="str">
        <f>IF(B6="","",B6*1.2)</f>
        <v/>
      </c>
      <c r="D6" s="6" t="str">
        <f>IF(C6="","",C6/6)</f>
        <v/>
      </c>
      <c r="E6" s="4"/>
      <c r="F6" s="4"/>
      <c r="G6" s="4"/>
      <c r="H6" s="4"/>
      <c r="I6" s="4"/>
      <c r="J6" s="4"/>
      <c r="K6" s="4">
        <f>SUM(E6)</f>
        <v>0</v>
      </c>
      <c r="L6" s="4" t="str">
        <f>IF(C6="","",C6-K6)</f>
        <v/>
      </c>
      <c r="M6" t="str">
        <f>IF(B6="","",IF(L6&lt;=0,"PAGADO","PENDIENTE"))</f>
        <v/>
      </c>
    </row>
    <row r="7" spans="1:13" x14ac:dyDescent="0.25">
      <c r="A7" s="7"/>
      <c r="B7" s="4"/>
      <c r="C7" s="5" t="str">
        <f>IF(B7="","",B7*1.2)</f>
        <v/>
      </c>
      <c r="D7" s="6" t="str">
        <f>IF(C7="","",C7/6)</f>
        <v/>
      </c>
      <c r="E7" s="4"/>
      <c r="F7" s="4"/>
      <c r="G7" s="4"/>
      <c r="H7" s="4"/>
      <c r="I7" s="4"/>
      <c r="J7" s="4"/>
      <c r="K7" s="4">
        <f>SUM(E7)</f>
        <v>0</v>
      </c>
      <c r="L7" s="4" t="str">
        <f>IF(C7="","",C7-K7)</f>
        <v/>
      </c>
      <c r="M7" t="str">
        <f>IF(B7="","",IF(L7&lt;=0,"PAGADO","PENDIENTE"))</f>
        <v/>
      </c>
    </row>
    <row r="8" spans="1:13" x14ac:dyDescent="0.25">
      <c r="A8" s="7"/>
      <c r="B8" s="4"/>
      <c r="C8" s="5" t="str">
        <f>IF(B8="","",B8*1.2)</f>
        <v/>
      </c>
      <c r="D8" s="6" t="str">
        <f>IF(C8="","",C8/6)</f>
        <v/>
      </c>
      <c r="E8" s="4"/>
      <c r="F8" s="4"/>
      <c r="G8" s="4"/>
      <c r="H8" s="4"/>
      <c r="I8" s="4"/>
      <c r="J8" s="4"/>
      <c r="K8" s="4">
        <f>SUM(E8)</f>
        <v>0</v>
      </c>
      <c r="L8" s="4" t="str">
        <f>IF(C8="","",C8-K8)</f>
        <v/>
      </c>
      <c r="M8" t="str">
        <f>IF(B8="","",IF(L8&lt;=0,"PAGADO","PENDIENTE"))</f>
        <v/>
      </c>
    </row>
    <row r="9" spans="1:13" x14ac:dyDescent="0.25">
      <c r="A9" s="7"/>
      <c r="B9" s="4"/>
      <c r="C9" s="5" t="str">
        <f>IF(B9="","",B9*1.2)</f>
        <v/>
      </c>
      <c r="D9" s="6" t="str">
        <f>IF(C9="","",C9/6)</f>
        <v/>
      </c>
      <c r="E9" s="4"/>
      <c r="F9" s="4"/>
      <c r="G9" s="4"/>
      <c r="H9" s="4"/>
      <c r="I9" s="4"/>
      <c r="J9" s="4"/>
      <c r="K9" s="4">
        <f>SUM(E9)</f>
        <v>0</v>
      </c>
      <c r="L9" s="4" t="str">
        <f>IF(C9="","",C9-K9)</f>
        <v/>
      </c>
      <c r="M9" t="str">
        <f>IF(B9="","",IF(L9&lt;=0,"PAGADO","PENDIENTE"))</f>
        <v/>
      </c>
    </row>
    <row r="10" spans="1:13" x14ac:dyDescent="0.25">
      <c r="A10" s="7"/>
      <c r="B10" s="4"/>
      <c r="C10" s="5" t="str">
        <f>IF(B10="","",B10*1.2)</f>
        <v/>
      </c>
      <c r="D10" s="6" t="str">
        <f>IF(C10="","",C10/6)</f>
        <v/>
      </c>
      <c r="E10" s="4"/>
      <c r="F10" s="4"/>
      <c r="G10" s="4"/>
      <c r="H10" s="4"/>
      <c r="I10" s="4"/>
      <c r="J10" s="4"/>
      <c r="K10" s="4">
        <f>SUM(E10)</f>
        <v>0</v>
      </c>
      <c r="L10" s="4" t="str">
        <f>IF(C10="","",C10-K10)</f>
        <v/>
      </c>
      <c r="M10" t="str">
        <f>IF(B10="","",IF(L10&lt;=0,"PAGADO","PENDIENTE"))</f>
        <v/>
      </c>
    </row>
    <row r="11" spans="1:13" x14ac:dyDescent="0.25">
      <c r="A11" s="7"/>
      <c r="B11" s="4"/>
      <c r="C11" s="5" t="str">
        <f>IF(B11="","",B11*1.2)</f>
        <v/>
      </c>
      <c r="D11" s="6" t="str">
        <f>IF(C11="","",C11/6)</f>
        <v/>
      </c>
      <c r="E11" s="4"/>
      <c r="F11" s="4"/>
      <c r="G11" s="4"/>
      <c r="H11" s="4"/>
      <c r="I11" s="4"/>
      <c r="J11" s="4"/>
      <c r="K11" s="4">
        <f>SUM(E11)</f>
        <v>0</v>
      </c>
      <c r="L11" s="4" t="str">
        <f>IF(C11="","",C11-K11)</f>
        <v/>
      </c>
      <c r="M11" t="str">
        <f>IF(B11="","",IF(L11&lt;=0,"PAGADO","PENDIENTE"))</f>
        <v/>
      </c>
    </row>
    <row r="12" spans="1:13" x14ac:dyDescent="0.25">
      <c r="A12" s="7"/>
      <c r="B12" s="4"/>
      <c r="C12" s="5" t="str">
        <f>IF(B12="","",B12*1.2)</f>
        <v/>
      </c>
      <c r="D12" s="6" t="str">
        <f>IF(C12="","",C12/6)</f>
        <v/>
      </c>
      <c r="E12" s="4"/>
      <c r="F12" s="4"/>
      <c r="G12" s="4"/>
      <c r="H12" s="4"/>
      <c r="I12" s="4"/>
      <c r="J12" s="4"/>
      <c r="K12" s="4">
        <f>SUM(E12)</f>
        <v>0</v>
      </c>
      <c r="L12" s="4" t="str">
        <f>IF(C12="","",C12-K12)</f>
        <v/>
      </c>
      <c r="M12" t="str">
        <f>IF(B12="","",IF(L12&lt;=0,"PAGADO","PENDIENTE"))</f>
        <v/>
      </c>
    </row>
    <row r="13" spans="1:13" x14ac:dyDescent="0.25">
      <c r="A13" s="7"/>
      <c r="B13" s="4"/>
      <c r="C13" s="5" t="str">
        <f>IF(B13="","",B13*1.2)</f>
        <v/>
      </c>
      <c r="D13" s="6" t="str">
        <f>IF(C13="","",C13/6)</f>
        <v/>
      </c>
      <c r="E13" s="4"/>
      <c r="F13" s="4"/>
      <c r="G13" s="4"/>
      <c r="H13" s="4"/>
      <c r="I13" s="4"/>
      <c r="J13" s="4"/>
      <c r="K13" s="4">
        <f>SUM(E13)</f>
        <v>0</v>
      </c>
      <c r="L13" s="4" t="str">
        <f>IF(C13="","",C13-K13)</f>
        <v/>
      </c>
      <c r="M13" t="str">
        <f>IF(B13="","",IF(L13&lt;=0,"PAGADO","PENDIENTE"))</f>
        <v/>
      </c>
    </row>
    <row r="14" spans="1:13" x14ac:dyDescent="0.25">
      <c r="A14" s="7"/>
      <c r="B14" s="4"/>
      <c r="C14" s="5" t="str">
        <f>IF(B14="","",B14*1.2)</f>
        <v/>
      </c>
      <c r="D14" s="6" t="str">
        <f>IF(C14="","",C14/6)</f>
        <v/>
      </c>
      <c r="E14" s="4"/>
      <c r="F14" s="4"/>
      <c r="G14" s="4"/>
      <c r="H14" s="4"/>
      <c r="I14" s="4"/>
      <c r="J14" s="4"/>
      <c r="K14" s="4">
        <f>SUM(E14)</f>
        <v>0</v>
      </c>
      <c r="L14" s="4" t="str">
        <f>IF(C14="","",C14-K14)</f>
        <v/>
      </c>
      <c r="M14" t="str">
        <f>IF(B14="","",IF(L14&lt;=0,"PAGADO","PENDIENTE"))</f>
        <v/>
      </c>
    </row>
    <row r="15" spans="1:13" x14ac:dyDescent="0.25">
      <c r="A15" s="7"/>
      <c r="B15" s="4"/>
      <c r="C15" s="5" t="str">
        <f>IF(B15="","",B15*1.2)</f>
        <v/>
      </c>
      <c r="D15" s="6" t="str">
        <f>IF(C15="","",C15/6)</f>
        <v/>
      </c>
      <c r="E15" s="4"/>
      <c r="F15" s="4"/>
      <c r="G15" s="4"/>
      <c r="H15" s="4"/>
      <c r="I15" s="4"/>
      <c r="J15" s="4"/>
      <c r="K15" s="4">
        <f>SUM(E15)</f>
        <v>0</v>
      </c>
      <c r="L15" s="4" t="str">
        <f>IF(C15="","",C15-K15)</f>
        <v/>
      </c>
      <c r="M15" t="str">
        <f>IF(B15="","",IF(L15&lt;=0,"PAGADO","PENDIENTE"))</f>
        <v/>
      </c>
    </row>
    <row r="16" spans="1:13" x14ac:dyDescent="0.25">
      <c r="A16" s="7"/>
      <c r="B16" s="4"/>
      <c r="C16" s="5" t="str">
        <f>IF(B16="","",B16*1.2)</f>
        <v/>
      </c>
      <c r="D16" s="6" t="str">
        <f>IF(C16="","",C16/6)</f>
        <v/>
      </c>
      <c r="E16" s="4"/>
      <c r="F16" s="4"/>
      <c r="G16" s="4"/>
      <c r="H16" s="4"/>
      <c r="I16" s="4"/>
      <c r="J16" s="4"/>
      <c r="K16" s="4">
        <f>SUM(E16)</f>
        <v>0</v>
      </c>
      <c r="L16" s="4" t="str">
        <f>IF(C16="","",C16-K16)</f>
        <v/>
      </c>
      <c r="M16" t="str">
        <f>IF(B16="","",IF(L16&lt;=0,"PAGADO","PENDIENTE"))</f>
        <v/>
      </c>
    </row>
    <row r="17" spans="1:13" x14ac:dyDescent="0.25">
      <c r="A17" s="7"/>
      <c r="B17" s="4"/>
      <c r="C17" s="5" t="str">
        <f>IF(B17="","",B17*1.2)</f>
        <v/>
      </c>
      <c r="D17" s="6" t="str">
        <f>IF(C17="","",C17/6)</f>
        <v/>
      </c>
      <c r="E17" s="4"/>
      <c r="F17" s="4"/>
      <c r="G17" s="4"/>
      <c r="H17" s="4"/>
      <c r="I17" s="4"/>
      <c r="J17" s="4"/>
      <c r="K17" s="4">
        <f>SUM(E17)</f>
        <v>0</v>
      </c>
      <c r="L17" s="4" t="str">
        <f>IF(C17="","",C17-K17)</f>
        <v/>
      </c>
      <c r="M17" t="str">
        <f>IF(B17="","",IF(L17&lt;=0,"PAGADO","PENDIENTE"))</f>
        <v/>
      </c>
    </row>
    <row r="18" spans="1:13" x14ac:dyDescent="0.25">
      <c r="A18" s="7"/>
      <c r="B18" s="4"/>
      <c r="C18" s="5" t="str">
        <f>IF(B18="","",B18*1.2)</f>
        <v/>
      </c>
      <c r="D18" s="6" t="str">
        <f>IF(C18="","",C18/6)</f>
        <v/>
      </c>
      <c r="E18" s="4"/>
      <c r="F18" s="4"/>
      <c r="G18" s="4"/>
      <c r="H18" s="4"/>
      <c r="I18" s="4"/>
      <c r="J18" s="4"/>
      <c r="K18" s="4">
        <f>SUM(E18)</f>
        <v>0</v>
      </c>
      <c r="L18" s="4" t="str">
        <f>IF(C18="","",C18-K18)</f>
        <v/>
      </c>
      <c r="M18" t="str">
        <f>IF(B18="","",IF(L18&lt;=0,"PAGADO","PENDIENTE"))</f>
        <v/>
      </c>
    </row>
    <row r="19" spans="1:13" x14ac:dyDescent="0.25">
      <c r="A19" s="7"/>
      <c r="B19" s="4"/>
      <c r="C19" s="5" t="str">
        <f>IF(B19="","",B19*1.2)</f>
        <v/>
      </c>
      <c r="D19" s="6" t="str">
        <f>IF(C19="","",C19/6)</f>
        <v/>
      </c>
      <c r="E19" s="4"/>
      <c r="F19" s="4"/>
      <c r="G19" s="4"/>
      <c r="H19" s="4"/>
      <c r="I19" s="4"/>
      <c r="J19" s="4"/>
      <c r="K19" s="4">
        <f>SUM(E19)</f>
        <v>0</v>
      </c>
      <c r="L19" s="4" t="str">
        <f>IF(C19="","",C19-K19)</f>
        <v/>
      </c>
      <c r="M19" t="str">
        <f>IF(B19="","",IF(L19&lt;=0,"PAGADO","PENDIENTE"))</f>
        <v/>
      </c>
    </row>
    <row r="20" spans="1:13" x14ac:dyDescent="0.25">
      <c r="A20" s="7"/>
      <c r="B20" s="4"/>
      <c r="C20" s="5" t="str">
        <f>IF(B20="","",B20*1.2)</f>
        <v/>
      </c>
      <c r="D20" s="6" t="str">
        <f>IF(C20="","",C20/6)</f>
        <v/>
      </c>
      <c r="E20" s="4"/>
      <c r="F20" s="4"/>
      <c r="G20" s="4"/>
      <c r="H20" s="4"/>
      <c r="I20" s="4"/>
      <c r="J20" s="4"/>
      <c r="K20" s="4">
        <f>SUM(E20)</f>
        <v>0</v>
      </c>
      <c r="L20" s="4" t="str">
        <f>IF(C20="","",C20-K20)</f>
        <v/>
      </c>
      <c r="M20" t="str">
        <f>IF(B20="","",IF(L20&lt;=0,"PAGADO","PENDIENTE"))</f>
        <v/>
      </c>
    </row>
    <row r="21" spans="1:13" x14ac:dyDescent="0.25">
      <c r="A21" s="7"/>
      <c r="B21" s="4"/>
      <c r="C21" s="5" t="str">
        <f>IF(B21="","",B21*1.2)</f>
        <v/>
      </c>
      <c r="D21" s="6" t="str">
        <f>IF(C21="","",C21/6)</f>
        <v/>
      </c>
      <c r="E21" s="4"/>
      <c r="F21" s="4"/>
      <c r="G21" s="4"/>
      <c r="H21" s="4"/>
      <c r="I21" s="4"/>
      <c r="J21" s="4"/>
      <c r="K21" s="4">
        <f>SUM(E21)</f>
        <v>0</v>
      </c>
      <c r="L21" s="4" t="str">
        <f>IF(C21="","",C21-K21)</f>
        <v/>
      </c>
      <c r="M21" t="str">
        <f>IF(B21="","",IF(L21&lt;=0,"PAGADO","PENDIENTE"))</f>
        <v/>
      </c>
    </row>
    <row r="22" spans="1:13" x14ac:dyDescent="0.25">
      <c r="A22" s="7"/>
      <c r="B22" s="4"/>
      <c r="C22" s="5" t="str">
        <f>IF(B22="","",B22*1.2)</f>
        <v/>
      </c>
      <c r="D22" s="6" t="str">
        <f>IF(C22="","",C22/6)</f>
        <v/>
      </c>
      <c r="E22" s="4"/>
      <c r="F22" s="4"/>
      <c r="G22" s="4"/>
      <c r="H22" s="4"/>
      <c r="I22" s="4"/>
      <c r="J22" s="4"/>
      <c r="K22" s="4">
        <f>SUM(E22)</f>
        <v>0</v>
      </c>
      <c r="L22" s="4" t="str">
        <f>IF(C22="","",C22-K22)</f>
        <v/>
      </c>
      <c r="M22" t="str">
        <f>IF(B22="","",IF(L22&lt;=0,"PAGADO","PENDIENTE"))</f>
        <v/>
      </c>
    </row>
    <row r="23" spans="1:13" x14ac:dyDescent="0.25">
      <c r="A23" s="7"/>
      <c r="B23" s="4"/>
      <c r="C23" s="5" t="str">
        <f>IF(B23="","",B23*1.2)</f>
        <v/>
      </c>
      <c r="D23" s="6" t="str">
        <f>IF(C23="","",C23/6)</f>
        <v/>
      </c>
      <c r="E23" s="4"/>
      <c r="F23" s="4"/>
      <c r="G23" s="4"/>
      <c r="H23" s="4"/>
      <c r="I23" s="4"/>
      <c r="J23" s="4"/>
      <c r="K23" s="4">
        <f>SUM(E23)</f>
        <v>0</v>
      </c>
      <c r="L23" s="4" t="str">
        <f>IF(C23="","",C23-K23)</f>
        <v/>
      </c>
      <c r="M23" t="str">
        <f>IF(B23="","",IF(L23&lt;=0,"PAGADO","PENDIENTE"))</f>
        <v/>
      </c>
    </row>
    <row r="24" spans="1:13" x14ac:dyDescent="0.25">
      <c r="A24" s="7"/>
      <c r="B24" s="4"/>
      <c r="C24" s="5" t="str">
        <f>IF(B24="","",B24*1.2)</f>
        <v/>
      </c>
      <c r="D24" s="6" t="str">
        <f>IF(C24="","",C24/6)</f>
        <v/>
      </c>
      <c r="E24" s="4"/>
      <c r="F24" s="4"/>
      <c r="G24" s="4"/>
      <c r="H24" s="4"/>
      <c r="I24" s="4"/>
      <c r="J24" s="4"/>
      <c r="K24" s="4">
        <f>SUM(E24)</f>
        <v>0</v>
      </c>
      <c r="L24" s="4" t="str">
        <f>IF(C24="","",C24-K24)</f>
        <v/>
      </c>
      <c r="M24" t="str">
        <f>IF(B24="","",IF(L24&lt;=0,"PAGADO","PENDIENTE"))</f>
        <v/>
      </c>
    </row>
    <row r="25" spans="1:13" x14ac:dyDescent="0.25">
      <c r="A25" s="7"/>
      <c r="B25" s="4"/>
      <c r="C25" s="5" t="str">
        <f>IF(B25="","",B25*1.2)</f>
        <v/>
      </c>
      <c r="D25" s="6" t="str">
        <f>IF(C25="","",C25/6)</f>
        <v/>
      </c>
      <c r="E25" s="4"/>
      <c r="F25" s="4"/>
      <c r="G25" s="4"/>
      <c r="H25" s="4"/>
      <c r="I25" s="4"/>
      <c r="J25" s="4"/>
      <c r="K25" s="4">
        <f>SUM(E25)</f>
        <v>0</v>
      </c>
      <c r="L25" s="4" t="str">
        <f>IF(C25="","",C25-K25)</f>
        <v/>
      </c>
      <c r="M25" t="str">
        <f>IF(B25="","",IF(L25&lt;=0,"PAGADO","PENDIENTE"))</f>
        <v/>
      </c>
    </row>
    <row r="26" spans="1:13" x14ac:dyDescent="0.25">
      <c r="A26" s="7"/>
      <c r="B26" s="4"/>
      <c r="C26" s="5" t="str">
        <f>IF(B26="","",B26*1.2)</f>
        <v/>
      </c>
      <c r="D26" s="6" t="str">
        <f>IF(C26="","",C26/6)</f>
        <v/>
      </c>
      <c r="E26" s="4"/>
      <c r="F26" s="4"/>
      <c r="G26" s="4"/>
      <c r="H26" s="4"/>
      <c r="I26" s="4"/>
      <c r="J26" s="4"/>
      <c r="K26" s="4">
        <f>SUM(E26)</f>
        <v>0</v>
      </c>
      <c r="L26" s="4" t="str">
        <f>IF(C26="","",C26-K26)</f>
        <v/>
      </c>
      <c r="M26" t="str">
        <f>IF(B26="","",IF(L26&lt;=0,"PAGADO","PENDIENTE"))</f>
        <v/>
      </c>
    </row>
    <row r="27" spans="1:13" x14ac:dyDescent="0.25">
      <c r="A27" s="7"/>
      <c r="B27" s="4"/>
      <c r="C27" s="5" t="str">
        <f>IF(B27="","",B27*1.2)</f>
        <v/>
      </c>
      <c r="D27" s="6" t="str">
        <f>IF(C27="","",C27/6)</f>
        <v/>
      </c>
      <c r="E27" s="4"/>
      <c r="F27" s="4"/>
      <c r="G27" s="4"/>
      <c r="H27" s="4"/>
      <c r="I27" s="4"/>
      <c r="J27" s="4"/>
      <c r="K27" s="4">
        <f>SUM(E27)</f>
        <v>0</v>
      </c>
      <c r="L27" s="4" t="str">
        <f>IF(C27="","",C27-K27)</f>
        <v/>
      </c>
      <c r="M27" t="str">
        <f>IF(B27="","",IF(L27&lt;=0,"PAGADO","PENDIENTE"))</f>
        <v/>
      </c>
    </row>
    <row r="28" spans="1:13" x14ac:dyDescent="0.25">
      <c r="A28" s="7"/>
      <c r="B28" s="4"/>
      <c r="C28" s="5" t="str">
        <f>IF(B28="","",B28*1.2)</f>
        <v/>
      </c>
      <c r="D28" s="6" t="str">
        <f>IF(C28="","",C28/6)</f>
        <v/>
      </c>
      <c r="E28" s="4"/>
      <c r="F28" s="4"/>
      <c r="G28" s="4"/>
      <c r="H28" s="4"/>
      <c r="I28" s="4"/>
      <c r="J28" s="4"/>
      <c r="K28" s="4">
        <f>SUM(E28)</f>
        <v>0</v>
      </c>
      <c r="L28" s="4" t="str">
        <f>IF(C28="","",C28-K28)</f>
        <v/>
      </c>
      <c r="M28" t="str">
        <f>IF(B28="","",IF(L28&lt;=0,"PAGADO","PENDIENTE"))</f>
        <v/>
      </c>
    </row>
    <row r="29" spans="1:13" x14ac:dyDescent="0.25">
      <c r="A29" s="7"/>
      <c r="B29" s="4"/>
      <c r="C29" s="5" t="str">
        <f>IF(B29="","",B29*1.2)</f>
        <v/>
      </c>
      <c r="D29" s="6" t="str">
        <f>IF(C29="","",C29/6)</f>
        <v/>
      </c>
      <c r="E29" s="4"/>
      <c r="F29" s="4"/>
      <c r="G29" s="4"/>
      <c r="H29" s="4"/>
      <c r="I29" s="4"/>
      <c r="J29" s="4"/>
      <c r="K29" s="4">
        <f>SUM(E29)</f>
        <v>0</v>
      </c>
      <c r="L29" s="4" t="str">
        <f>IF(C29="","",C29-K29)</f>
        <v/>
      </c>
      <c r="M29" t="str">
        <f>IF(B29="","",IF(L29&lt;=0,"PAGADO","PENDIENTE"))</f>
        <v/>
      </c>
    </row>
    <row r="30" spans="1:13" x14ac:dyDescent="0.25">
      <c r="A30" s="7"/>
      <c r="B30" s="4"/>
      <c r="C30" s="5" t="str">
        <f>IF(B30="","",B30*1.2)</f>
        <v/>
      </c>
      <c r="D30" s="6" t="str">
        <f>IF(C30="","",C30/6)</f>
        <v/>
      </c>
      <c r="E30" s="4"/>
      <c r="F30" s="4"/>
      <c r="G30" s="4"/>
      <c r="H30" s="4"/>
      <c r="I30" s="4"/>
      <c r="J30" s="4"/>
      <c r="K30" s="4">
        <f>SUM(E30)</f>
        <v>0</v>
      </c>
      <c r="L30" s="4" t="str">
        <f>IF(C30="","",C30-K30)</f>
        <v/>
      </c>
      <c r="M30" t="str">
        <f>IF(B30="","",IF(L30&lt;=0,"PAGADO","PENDIENTE"))</f>
        <v/>
      </c>
    </row>
    <row r="31" spans="1:13" x14ac:dyDescent="0.25">
      <c r="A31" s="7"/>
      <c r="B31" s="4"/>
      <c r="C31" s="5" t="str">
        <f>IF(B31="","",B31*1.2)</f>
        <v/>
      </c>
      <c r="D31" s="6" t="str">
        <f>IF(C31="","",C31/6)</f>
        <v/>
      </c>
      <c r="E31" s="4"/>
      <c r="F31" s="4"/>
      <c r="G31" s="4"/>
      <c r="H31" s="4"/>
      <c r="I31" s="4"/>
      <c r="J31" s="4"/>
      <c r="K31" s="4">
        <f>SUM(E31)</f>
        <v>0</v>
      </c>
      <c r="L31" s="4" t="str">
        <f>IF(C31="","",C31-K31)</f>
        <v/>
      </c>
      <c r="M31" t="str">
        <f>IF(B31="","",IF(L31&lt;=0,"PAGADO","PENDIENTE"))</f>
        <v/>
      </c>
    </row>
    <row r="32" spans="1:13" x14ac:dyDescent="0.25">
      <c r="A32" s="7"/>
      <c r="B32" s="4"/>
      <c r="C32" s="5" t="str">
        <f>IF(B32="","",B32*1.2)</f>
        <v/>
      </c>
      <c r="D32" s="6" t="str">
        <f>IF(C32="","",C32/6)</f>
        <v/>
      </c>
      <c r="E32" s="4"/>
      <c r="F32" s="4"/>
      <c r="G32" s="4"/>
      <c r="H32" s="4"/>
      <c r="I32" s="4"/>
      <c r="J32" s="4"/>
      <c r="K32" s="4">
        <f>SUM(E32)</f>
        <v>0</v>
      </c>
      <c r="L32" s="4" t="str">
        <f>IF(C32="","",C32-K32)</f>
        <v/>
      </c>
      <c r="M32" t="str">
        <f>IF(B32="","",IF(L32&lt;=0,"PAGADO","PENDIENTE"))</f>
        <v/>
      </c>
    </row>
    <row r="33" spans="1:13" x14ac:dyDescent="0.25">
      <c r="A33" s="7"/>
      <c r="B33" s="4"/>
      <c r="C33" s="5" t="str">
        <f>IF(B33="","",B33*1.2)</f>
        <v/>
      </c>
      <c r="D33" s="6" t="str">
        <f>IF(C33="","",C33/6)</f>
        <v/>
      </c>
      <c r="E33" s="4"/>
      <c r="F33" s="4"/>
      <c r="G33" s="4"/>
      <c r="H33" s="4"/>
      <c r="I33" s="4"/>
      <c r="J33" s="4"/>
      <c r="K33" s="4">
        <f>SUM(E33)</f>
        <v>0</v>
      </c>
      <c r="L33" s="4" t="str">
        <f>IF(C33="","",C33-K33)</f>
        <v/>
      </c>
      <c r="M33" t="str">
        <f>IF(B33="","",IF(L33&lt;=0,"PAGADO","PENDIENTE"))</f>
        <v/>
      </c>
    </row>
    <row r="34" spans="1:13" x14ac:dyDescent="0.25">
      <c r="A34" s="7"/>
      <c r="B34" s="4"/>
      <c r="C34" s="5" t="str">
        <f>IF(B34="","",B34*1.2)</f>
        <v/>
      </c>
      <c r="D34" s="6" t="str">
        <f>IF(C34="","",C34/6)</f>
        <v/>
      </c>
      <c r="E34" s="4"/>
      <c r="F34" s="4"/>
      <c r="G34" s="4"/>
      <c r="H34" s="4"/>
      <c r="I34" s="4"/>
      <c r="J34" s="4"/>
      <c r="K34" s="4">
        <f>SUM(E34)</f>
        <v>0</v>
      </c>
      <c r="L34" s="4" t="str">
        <f>IF(C34="","",C34-K34)</f>
        <v/>
      </c>
      <c r="M34" t="str">
        <f>IF(B34="","",IF(L34&lt;=0,"PAGADO","PENDIENTE"))</f>
        <v/>
      </c>
    </row>
    <row r="35" spans="1:13" x14ac:dyDescent="0.25">
      <c r="A35" s="7"/>
      <c r="B35" s="4"/>
      <c r="C35" s="5" t="str">
        <f>IF(B35="","",B35*1.2)</f>
        <v/>
      </c>
      <c r="D35" s="6" t="str">
        <f>IF(C35="","",C35/6)</f>
        <v/>
      </c>
      <c r="E35" s="4"/>
      <c r="F35" s="4"/>
      <c r="G35" s="4"/>
      <c r="H35" s="4"/>
      <c r="I35" s="4"/>
      <c r="J35" s="4"/>
      <c r="K35" s="4">
        <f>SUM(E35)</f>
        <v>0</v>
      </c>
      <c r="L35" s="4" t="str">
        <f>IF(C35="","",C35-K35)</f>
        <v/>
      </c>
      <c r="M35" t="str">
        <f>IF(B35="","",IF(L35&lt;=0,"PAGADO","PENDIENTE"))</f>
        <v/>
      </c>
    </row>
    <row r="36" spans="1:13" x14ac:dyDescent="0.25">
      <c r="A36" s="7"/>
      <c r="B36" s="4"/>
      <c r="C36" s="5" t="str">
        <f>IF(B36="","",B36*1.2)</f>
        <v/>
      </c>
      <c r="D36" s="6" t="str">
        <f>IF(C36="","",C36/6)</f>
        <v/>
      </c>
      <c r="E36" s="4"/>
      <c r="F36" s="4"/>
      <c r="G36" s="4"/>
      <c r="H36" s="4"/>
      <c r="I36" s="4"/>
      <c r="J36" s="4"/>
      <c r="K36" s="4">
        <f>SUM(E36)</f>
        <v>0</v>
      </c>
      <c r="L36" s="4" t="str">
        <f>IF(C36="","",C36-K36)</f>
        <v/>
      </c>
      <c r="M36" t="str">
        <f>IF(B36="","",IF(L36&lt;=0,"PAGADO","PENDIENTE"))</f>
        <v/>
      </c>
    </row>
    <row r="37" spans="1:13" x14ac:dyDescent="0.25">
      <c r="A37" s="7"/>
      <c r="B37" s="4"/>
      <c r="C37" s="5" t="str">
        <f>IF(B37="","",B37*1.2)</f>
        <v/>
      </c>
      <c r="D37" s="6" t="str">
        <f>IF(C37="","",C37/6)</f>
        <v/>
      </c>
      <c r="E37" s="4"/>
      <c r="F37" s="4"/>
      <c r="G37" s="4"/>
      <c r="H37" s="4"/>
      <c r="I37" s="4"/>
      <c r="J37" s="4"/>
      <c r="K37" s="4">
        <f>SUM(E37)</f>
        <v>0</v>
      </c>
      <c r="L37" s="4" t="str">
        <f>IF(C37="","",C37-K37)</f>
        <v/>
      </c>
      <c r="M37" t="str">
        <f>IF(B37="","",IF(L37&lt;=0,"PAGADO","PENDIENTE"))</f>
        <v/>
      </c>
    </row>
    <row r="38" spans="1:13" x14ac:dyDescent="0.25">
      <c r="A38" s="7"/>
      <c r="B38" s="4"/>
      <c r="C38" s="5" t="str">
        <f>IF(B38="","",B38*1.2)</f>
        <v/>
      </c>
      <c r="D38" s="6" t="str">
        <f>IF(C38="","",C38/6)</f>
        <v/>
      </c>
      <c r="E38" s="4"/>
      <c r="F38" s="4"/>
      <c r="G38" s="4"/>
      <c r="H38" s="4"/>
      <c r="I38" s="4"/>
      <c r="J38" s="4"/>
      <c r="K38" s="4">
        <f>SUM(E38)</f>
        <v>0</v>
      </c>
      <c r="L38" s="4" t="str">
        <f>IF(C38="","",C38-K38)</f>
        <v/>
      </c>
      <c r="M38" t="str">
        <f>IF(B38="","",IF(L38&lt;=0,"PAGADO","PENDIENTE"))</f>
        <v/>
      </c>
    </row>
    <row r="39" spans="1:13" x14ac:dyDescent="0.25">
      <c r="A39" s="7"/>
      <c r="B39" s="4"/>
      <c r="C39" s="5" t="str">
        <f>IF(B39="","",B39*1.2)</f>
        <v/>
      </c>
      <c r="D39" s="6" t="str">
        <f>IF(C39="","",C39/6)</f>
        <v/>
      </c>
      <c r="E39" s="4"/>
      <c r="F39" s="4"/>
      <c r="G39" s="4"/>
      <c r="H39" s="4"/>
      <c r="I39" s="4"/>
      <c r="J39" s="4"/>
      <c r="K39" s="4">
        <f>SUM(E39)</f>
        <v>0</v>
      </c>
      <c r="L39" s="4" t="str">
        <f>IF(C39="","",C39-K39)</f>
        <v/>
      </c>
      <c r="M39" t="str">
        <f>IF(B39="","",IF(L39&lt;=0,"PAGADO","PENDIENTE"))</f>
        <v/>
      </c>
    </row>
    <row r="40" spans="1:13" x14ac:dyDescent="0.25">
      <c r="A40" s="7"/>
      <c r="B40" s="4"/>
      <c r="C40" s="5" t="str">
        <f>IF(B40="","",B40*1.2)</f>
        <v/>
      </c>
      <c r="D40" s="6" t="str">
        <f>IF(C40="","",C40/6)</f>
        <v/>
      </c>
      <c r="E40" s="4"/>
      <c r="F40" s="4"/>
      <c r="G40" s="4"/>
      <c r="H40" s="4"/>
      <c r="I40" s="4"/>
      <c r="J40" s="4"/>
      <c r="K40" s="4">
        <f>SUM(E40)</f>
        <v>0</v>
      </c>
      <c r="L40" s="4" t="str">
        <f>IF(C40="","",C40-K40)</f>
        <v/>
      </c>
      <c r="M40" t="str">
        <f>IF(B40="","",IF(L40&lt;=0,"PAGADO","PENDIENTE"))</f>
        <v/>
      </c>
    </row>
    <row r="41" spans="1:13" x14ac:dyDescent="0.25">
      <c r="A41" s="7"/>
      <c r="B41" s="4"/>
      <c r="C41" s="5" t="str">
        <f>IF(B41="","",B41*1.2)</f>
        <v/>
      </c>
      <c r="D41" s="6" t="str">
        <f>IF(C41="","",C41/6)</f>
        <v/>
      </c>
      <c r="E41" s="4"/>
      <c r="F41" s="4"/>
      <c r="G41" s="4"/>
      <c r="H41" s="4"/>
      <c r="I41" s="4"/>
      <c r="J41" s="4"/>
      <c r="K41" s="4">
        <f>SUM(E41)</f>
        <v>0</v>
      </c>
      <c r="L41" s="4" t="str">
        <f>IF(C41="","",C41-K41)</f>
        <v/>
      </c>
      <c r="M41" t="str">
        <f>IF(B41="","",IF(L41&lt;=0,"PAGADO","PENDIENTE"))</f>
        <v/>
      </c>
    </row>
    <row r="42" spans="1:13" x14ac:dyDescent="0.25">
      <c r="A42" s="7"/>
      <c r="B42" s="4"/>
      <c r="C42" s="5" t="str">
        <f>IF(B42="","",B42*1.2)</f>
        <v/>
      </c>
      <c r="D42" s="6" t="str">
        <f>IF(C42="","",C42/6)</f>
        <v/>
      </c>
      <c r="E42" s="4"/>
      <c r="F42" s="4"/>
      <c r="G42" s="4"/>
      <c r="H42" s="4"/>
      <c r="I42" s="4"/>
      <c r="J42" s="4"/>
      <c r="K42" s="4">
        <f>SUM(E42)</f>
        <v>0</v>
      </c>
      <c r="L42" s="4" t="str">
        <f>IF(C42="","",C42-K42)</f>
        <v/>
      </c>
      <c r="M42" t="str">
        <f>IF(B42="","",IF(L42&lt;=0,"PAGADO","PENDIENTE"))</f>
        <v/>
      </c>
    </row>
    <row r="43" spans="1:13" x14ac:dyDescent="0.25">
      <c r="A43" s="7"/>
      <c r="B43" s="4"/>
      <c r="C43" s="5" t="str">
        <f>IF(B43="","",B43*1.2)</f>
        <v/>
      </c>
      <c r="D43" s="6" t="str">
        <f>IF(C43="","",C43/6)</f>
        <v/>
      </c>
      <c r="E43" s="4"/>
      <c r="F43" s="4"/>
      <c r="G43" s="4"/>
      <c r="H43" s="4"/>
      <c r="I43" s="4"/>
      <c r="J43" s="4"/>
      <c r="K43" s="4">
        <f>SUM(E43)</f>
        <v>0</v>
      </c>
      <c r="L43" s="4" t="str">
        <f>IF(C43="","",C43-K43)</f>
        <v/>
      </c>
      <c r="M43" t="str">
        <f>IF(B43="","",IF(L43&lt;=0,"PAGADO","PENDIENTE"))</f>
        <v/>
      </c>
    </row>
    <row r="44" spans="1:13" x14ac:dyDescent="0.25">
      <c r="A44" s="7"/>
      <c r="B44" s="4"/>
      <c r="C44" s="5" t="str">
        <f>IF(B44="","",B44*1.2)</f>
        <v/>
      </c>
      <c r="D44" s="6" t="str">
        <f>IF(C44="","",C44/6)</f>
        <v/>
      </c>
      <c r="E44" s="4"/>
      <c r="F44" s="4"/>
      <c r="G44" s="4"/>
      <c r="H44" s="4"/>
      <c r="I44" s="4"/>
      <c r="J44" s="4"/>
      <c r="K44" s="4">
        <f>SUM(E44)</f>
        <v>0</v>
      </c>
      <c r="L44" s="4" t="str">
        <f>IF(C44="","",C44-K44)</f>
        <v/>
      </c>
      <c r="M44" t="str">
        <f>IF(B44="","",IF(L44&lt;=0,"PAGADO","PENDIENTE"))</f>
        <v/>
      </c>
    </row>
    <row r="45" spans="1:13" x14ac:dyDescent="0.25">
      <c r="A45" s="7"/>
      <c r="B45" s="4"/>
      <c r="C45" s="5" t="str">
        <f>IF(B45="","",B45*1.2)</f>
        <v/>
      </c>
      <c r="D45" s="6" t="str">
        <f>IF(C45="","",C45/6)</f>
        <v/>
      </c>
      <c r="E45" s="4"/>
      <c r="F45" s="4"/>
      <c r="G45" s="4"/>
      <c r="H45" s="4"/>
      <c r="I45" s="4"/>
      <c r="J45" s="4"/>
      <c r="K45" s="4">
        <f>SUM(E45)</f>
        <v>0</v>
      </c>
      <c r="L45" s="4" t="str">
        <f>IF(C45="","",C45-K45)</f>
        <v/>
      </c>
      <c r="M45" t="str">
        <f>IF(B45="","",IF(L45&lt;=0,"PAGADO","PENDIENTE"))</f>
        <v/>
      </c>
    </row>
    <row r="46" spans="1:13" x14ac:dyDescent="0.25">
      <c r="A46" s="7"/>
      <c r="B46" s="4"/>
      <c r="C46" s="5" t="str">
        <f>IF(B46="","",B46*1.2)</f>
        <v/>
      </c>
      <c r="D46" s="6" t="str">
        <f>IF(C46="","",C46/6)</f>
        <v/>
      </c>
      <c r="E46" s="4"/>
      <c r="F46" s="4"/>
      <c r="G46" s="4"/>
      <c r="H46" s="4"/>
      <c r="I46" s="4"/>
      <c r="J46" s="4"/>
      <c r="K46" s="4">
        <f>SUM(E46)</f>
        <v>0</v>
      </c>
      <c r="L46" s="4" t="str">
        <f>IF(C46="","",C46-K46)</f>
        <v/>
      </c>
      <c r="M46" t="str">
        <f>IF(B46="","",IF(L46&lt;=0,"PAGADO","PENDIENTE"))</f>
        <v/>
      </c>
    </row>
    <row r="47" spans="1:13" x14ac:dyDescent="0.25">
      <c r="A47" s="7"/>
      <c r="B47" s="4"/>
      <c r="C47" s="5" t="str">
        <f>IF(B47="","",B47*1.2)</f>
        <v/>
      </c>
      <c r="D47" s="6" t="str">
        <f>IF(C47="","",C47/6)</f>
        <v/>
      </c>
      <c r="E47" s="4"/>
      <c r="F47" s="4"/>
      <c r="G47" s="4"/>
      <c r="H47" s="4"/>
      <c r="I47" s="4"/>
      <c r="J47" s="4"/>
      <c r="K47" s="4">
        <f>SUM(E47)</f>
        <v>0</v>
      </c>
      <c r="L47" s="4" t="str">
        <f>IF(C47="","",C47-K47)</f>
        <v/>
      </c>
      <c r="M47" t="str">
        <f>IF(B47="","",IF(L47&lt;=0,"PAGADO","PENDIENTE"))</f>
        <v/>
      </c>
    </row>
    <row r="48" spans="1:13" x14ac:dyDescent="0.25">
      <c r="A48" s="7"/>
      <c r="B48" s="4"/>
      <c r="C48" s="5" t="str">
        <f>IF(B48="","",B48*1.2)</f>
        <v/>
      </c>
      <c r="D48" s="6" t="str">
        <f>IF(C48="","",C48/6)</f>
        <v/>
      </c>
      <c r="E48" s="4"/>
      <c r="F48" s="4"/>
      <c r="G48" s="4"/>
      <c r="H48" s="4"/>
      <c r="I48" s="4"/>
      <c r="J48" s="4"/>
      <c r="K48" s="4">
        <f>SUM(E48)</f>
        <v>0</v>
      </c>
      <c r="L48" s="4" t="str">
        <f>IF(C48="","",C48-K48)</f>
        <v/>
      </c>
      <c r="M48" t="str">
        <f>IF(B48="","",IF(L48&lt;=0,"PAGADO","PENDIENTE"))</f>
        <v/>
      </c>
    </row>
    <row r="49" spans="1:13" x14ac:dyDescent="0.25">
      <c r="A49" s="7"/>
      <c r="B49" s="4"/>
      <c r="C49" s="5" t="str">
        <f>IF(B49="","",B49*1.2)</f>
        <v/>
      </c>
      <c r="D49" s="6" t="str">
        <f>IF(C49="","",C49/6)</f>
        <v/>
      </c>
      <c r="E49" s="4"/>
      <c r="F49" s="4"/>
      <c r="G49" s="4"/>
      <c r="H49" s="4"/>
      <c r="I49" s="4"/>
      <c r="J49" s="4"/>
      <c r="K49" s="4">
        <f>SUM(E49)</f>
        <v>0</v>
      </c>
      <c r="L49" s="4" t="str">
        <f>IF(C49="","",C49-K49)</f>
        <v/>
      </c>
      <c r="M49" t="str">
        <f>IF(B49="","",IF(L49&lt;=0,"PAGADO","PENDIENTE"))</f>
        <v/>
      </c>
    </row>
    <row r="50" spans="1:13" x14ac:dyDescent="0.25">
      <c r="A50" s="7"/>
      <c r="B50" s="4"/>
      <c r="C50" s="5" t="str">
        <f>IF(B50="","",B50*1.2)</f>
        <v/>
      </c>
      <c r="D50" s="6" t="str">
        <f>IF(C50="","",C50/6)</f>
        <v/>
      </c>
      <c r="E50" s="4"/>
      <c r="F50" s="4"/>
      <c r="G50" s="4"/>
      <c r="H50" s="4"/>
      <c r="I50" s="4"/>
      <c r="J50" s="4"/>
      <c r="K50" s="4">
        <f>SUM(E50)</f>
        <v>0</v>
      </c>
      <c r="L50" s="4" t="str">
        <f>IF(C50="","",C50-K50)</f>
        <v/>
      </c>
      <c r="M50" t="str">
        <f>IF(B50="","",IF(L50&lt;=0,"PAGADO","PENDIENTE"))</f>
        <v/>
      </c>
    </row>
    <row r="51" spans="1:13" x14ac:dyDescent="0.25">
      <c r="A51" s="7"/>
      <c r="B51" s="4"/>
      <c r="C51" s="5" t="str">
        <f>IF(B51="","",B51*1.2)</f>
        <v/>
      </c>
      <c r="D51" s="6" t="str">
        <f>IF(C51="","",C51/6)</f>
        <v/>
      </c>
      <c r="E51" s="4"/>
      <c r="F51" s="4"/>
      <c r="G51" s="4"/>
      <c r="H51" s="4"/>
      <c r="I51" s="4"/>
      <c r="J51" s="4"/>
      <c r="K51" s="4">
        <f>SUM(E51)</f>
        <v>0</v>
      </c>
      <c r="L51" s="4" t="str">
        <f>IF(C51="","",C51-K51)</f>
        <v/>
      </c>
      <c r="M51" t="str">
        <f>IF(B51="","",IF(L51&lt;=0,"PAGADO","PENDIENTE"))</f>
        <v/>
      </c>
    </row>
    <row r="52" spans="1:13" x14ac:dyDescent="0.25">
      <c r="A52" s="7"/>
      <c r="B52" s="4"/>
      <c r="C52" s="5" t="str">
        <f>IF(B52="","",B52*1.2)</f>
        <v/>
      </c>
      <c r="D52" s="6" t="str">
        <f>IF(C52="","",C52/6)</f>
        <v/>
      </c>
      <c r="E52" s="4"/>
      <c r="F52" s="4"/>
      <c r="G52" s="4"/>
      <c r="H52" s="4"/>
      <c r="I52" s="4"/>
      <c r="J52" s="4"/>
      <c r="K52" s="4">
        <f>SUM(E52)</f>
        <v>0</v>
      </c>
      <c r="L52" s="4" t="str">
        <f>IF(C52="","",C52-K52)</f>
        <v/>
      </c>
      <c r="M52" t="str">
        <f>IF(B52="","",IF(L52&lt;=0,"PAGADO","PENDIENTE"))</f>
        <v/>
      </c>
    </row>
    <row r="53" spans="1:13" x14ac:dyDescent="0.25">
      <c r="A53" s="7"/>
      <c r="B53" s="4"/>
      <c r="C53" s="5" t="str">
        <f>IF(B53="","",B53*1.2)</f>
        <v/>
      </c>
      <c r="D53" s="6" t="str">
        <f>IF(C53="","",C53/6)</f>
        <v/>
      </c>
      <c r="E53" s="4"/>
      <c r="F53" s="4"/>
      <c r="G53" s="4"/>
      <c r="H53" s="4"/>
      <c r="I53" s="4"/>
      <c r="J53" s="4"/>
      <c r="K53" s="4">
        <f>SUM(E53)</f>
        <v>0</v>
      </c>
      <c r="L53" s="4" t="str">
        <f>IF(C53="","",C53-K53)</f>
        <v/>
      </c>
      <c r="M53" t="str">
        <f>IF(B53="","",IF(L53&lt;=0,"PAGADO","PENDIENTE"))</f>
        <v/>
      </c>
    </row>
    <row r="54" spans="1:13" x14ac:dyDescent="0.25">
      <c r="A54" s="7"/>
      <c r="B54" s="4"/>
      <c r="C54" s="5" t="str">
        <f>IF(B54="","",B54*1.2)</f>
        <v/>
      </c>
      <c r="D54" s="6" t="str">
        <f>IF(C54="","",C54/6)</f>
        <v/>
      </c>
      <c r="E54" s="4"/>
      <c r="F54" s="4"/>
      <c r="G54" s="4"/>
      <c r="H54" s="4"/>
      <c r="I54" s="4"/>
      <c r="J54" s="4"/>
      <c r="K54" s="4">
        <f>SUM(E54)</f>
        <v>0</v>
      </c>
      <c r="L54" s="4" t="str">
        <f>IF(C54="","",C54-K54)</f>
        <v/>
      </c>
      <c r="M54" t="str">
        <f>IF(B54="","",IF(L54&lt;=0,"PAGADO","PENDIENTE"))</f>
        <v/>
      </c>
    </row>
    <row r="55" spans="1:13" x14ac:dyDescent="0.25">
      <c r="A55" s="7"/>
      <c r="B55" s="4"/>
      <c r="C55" s="5" t="str">
        <f>IF(B55="","",B55*1.2)</f>
        <v/>
      </c>
      <c r="D55" s="6" t="str">
        <f>IF(C55="","",C55/6)</f>
        <v/>
      </c>
      <c r="E55" s="4"/>
      <c r="F55" s="4"/>
      <c r="G55" s="4"/>
      <c r="H55" s="4"/>
      <c r="I55" s="4"/>
      <c r="J55" s="4"/>
      <c r="K55" s="4">
        <f>SUM(E55)</f>
        <v>0</v>
      </c>
      <c r="L55" s="4" t="str">
        <f>IF(C55="","",C55-K55)</f>
        <v/>
      </c>
      <c r="M55" t="str">
        <f>IF(B55="","",IF(L55&lt;=0,"PAGADO","PENDIENTE"))</f>
        <v/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CONTROL_COBROS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2026-02-04T17:01:08Z</dcterms:created>
  <dcterms:modified xsi:type="dcterms:W3CDTF">2026-02-04T17:01:12Z</dcterms:modified>
</cp:coreProperties>
</file>